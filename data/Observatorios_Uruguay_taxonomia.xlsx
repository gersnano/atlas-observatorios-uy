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Inventario" sheetId="2" state="visible" r:id="rId4"/>
    <sheet name="Cobertura temática" sheetId="3" state="visible" r:id="rId5"/>
    <sheet name="Cobertura ODS" sheetId="4" state="visible" r:id="rId6"/>
    <sheet name="Cobertura enfoques" sheetId="5" state="visible" r:id="rId7"/>
    <sheet name="Resumen" sheetId="6" state="visible" r:id="rId8"/>
    <sheet name="Taxonomía temas" sheetId="7" state="visible" r:id="rId9"/>
    <sheet name="Enfoques" sheetId="8" state="visible" r:id="rId10"/>
    <sheet name="Niveles" sheetId="9" state="visible" r:id="rId11"/>
    <sheet name="Por confirmar" sheetId="10" state="visible" r:id="rId12"/>
    <sheet name="Metodología" sheetId="11" state="visible" r:id="rId13"/>
    <sheet name="Listas" sheetId="12" state="hidden" r:id="rId14"/>
  </sheets>
  <definedNames>
    <definedName function="false" hidden="true" localSheetId="2" name="_xlnm._FilterDatabase" vbProcedure="false">'Cobertura temática'!$A$4:$M$57</definedName>
    <definedName function="false" hidden="true" localSheetId="1" name="_xlnm._FilterDatabase" vbProcedure="false">Inventario!$A$1:$AE$171</definedName>
    <definedName function="false" hidden="true" localSheetId="6" name="_xlnm._FilterDatabase" vbProcedure="false">'Taxonomía temas'!$A$1:$J$54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<sst xmlns="http://schemas.openxmlformats.org/spreadsheetml/2006/main" count="4643" uniqueCount="1915">
  <si>
    <t xml:space="preserve">Observatorios y portales de datos de Uruguay: inventario clasificado</t>
  </si>
  <si>
    <t xml:space="preserve">170 recursos · taxonomía en facetas con correspondencia ODS · corte 08/10/2026</t>
  </si>
  <si>
    <t xml:space="preserve">Propósito</t>
  </si>
  <si>
    <t xml:space="preserve">Base única para el buscador temático y el análisis ecosistémico de cobertura. Cada recurso tiene un tema principal, temas secundarios, enfoques transversales explícitos, nivel de análisis y atributos de acceso.</t>
  </si>
  <si>
    <t xml:space="preserve">Inventario</t>
  </si>
  <si>
    <t xml:space="preserve">Registro completo. Las columnas con fondo crema se editan; las columnas en gris se calculan con fórmulas a partir de la taxonomía.</t>
  </si>
  <si>
    <t xml:space="preserve">Taxonomía temas</t>
  </si>
  <si>
    <t xml:space="preserve">53 temas agrupados en 8 áreas, cada uno con ODS principal, metas de referencia, sinónimos de búsqueda y término para el Catálogo Nacional de Datos Abiertos.</t>
  </si>
  <si>
    <t xml:space="preserve">Enfoques</t>
  </si>
  <si>
    <t xml:space="preserve">Enfoques transversales y regla de asignación explícita.</t>
  </si>
  <si>
    <t xml:space="preserve">Niveles</t>
  </si>
  <si>
    <t xml:space="preserve">Escala de nivel de análisis (1 a 4).</t>
  </si>
  <si>
    <t xml:space="preserve">Cobertura temática</t>
  </si>
  <si>
    <t xml:space="preserve">Conteo por tema, estado de cobertura y alerta de concentración. Se recalcula al editar el inventario.</t>
  </si>
  <si>
    <t xml:space="preserve">Cobertura ODS</t>
  </si>
  <si>
    <t xml:space="preserve">Agregación de la cobertura por Objetivo de Desarrollo Sostenible.</t>
  </si>
  <si>
    <t xml:space="preserve">Cobertura enfoques</t>
  </si>
  <si>
    <t xml:space="preserve">Cobertura de cada enfoque transversal.</t>
  </si>
  <si>
    <t xml:space="preserve">Resumen</t>
  </si>
  <si>
    <t xml:space="preserve">Tablas de resumen: área por nivel de análisis, ámbito, tipo de recurso e instituciones con más recursos.</t>
  </si>
  <si>
    <t xml:space="preserve">Por confirmar</t>
  </si>
  <si>
    <t xml:space="preserve">Iniciativas sin portal público confirmado; no suman al inventario.</t>
  </si>
  <si>
    <t xml:space="preserve">Metodología</t>
  </si>
  <si>
    <t xml:space="preserve">Criterios del relevamiento original y criterios nuevos de clasificación y cobertura.</t>
  </si>
  <si>
    <t xml:space="preserve">Cómo agregar un recurso</t>
  </si>
  <si>
    <t xml:space="preserve">Copiar la última fila del inventario, completar las columnas crema y elegir tema principal, nivel y atributos en las listas desplegables. Los temas secundarios y enfoques se escriben como códigos separados por punto y coma (por ejemplo: T14; T25 / E01; E09).</t>
  </si>
  <si>
    <t xml:space="preserve">ID</t>
  </si>
  <si>
    <t xml:space="preserve">Portal o recurso</t>
  </si>
  <si>
    <t xml:space="preserve">Institución responsable</t>
  </si>
  <si>
    <t xml:space="preserve">Ámbito</t>
  </si>
  <si>
    <t xml:space="preserve">Naturaleza institucional</t>
  </si>
  <si>
    <t xml:space="preserve">Tipo de recurso</t>
  </si>
  <si>
    <t xml:space="preserve">Alcance territorial</t>
  </si>
  <si>
    <t xml:space="preserve">Descripción breve</t>
  </si>
  <si>
    <t xml:space="preserve">Enlace</t>
  </si>
  <si>
    <t xml:space="preserve">Tema principal</t>
  </si>
  <si>
    <t xml:space="preserve">Código tema</t>
  </si>
  <si>
    <t xml:space="preserve">Temas secundarios (códigos)</t>
  </si>
  <si>
    <t xml:space="preserve">Todos los temas</t>
  </si>
  <si>
    <t xml:space="preserve">Área</t>
  </si>
  <si>
    <t xml:space="preserve">ODS principal</t>
  </si>
  <si>
    <t xml:space="preserve">Enfoques transversales</t>
  </si>
  <si>
    <t xml:space="preserve">Nivel de análisis</t>
  </si>
  <si>
    <t xml:space="preserve">Descarga de datos</t>
  </si>
  <si>
    <t xml:space="preserve">API</t>
  </si>
  <si>
    <t xml:space="preserve">Desagregación territorial</t>
  </si>
  <si>
    <t xml:space="preserve">Desagregación por sexo</t>
  </si>
  <si>
    <t xml:space="preserve">Período de datos comprobado</t>
  </si>
  <si>
    <t xml:space="preserve">Vigencia comprobada</t>
  </si>
  <si>
    <t xml:space="preserve">Publicación / actualización comprobada</t>
  </si>
  <si>
    <t xml:space="preserve">Portal o sistema relacionado</t>
  </si>
  <si>
    <t xml:space="preserve">Notas de verificación</t>
  </si>
  <si>
    <t xml:space="preserve">Fuentes de verificación</t>
  </si>
  <si>
    <t xml:space="preserve">Fecha de relevamiento</t>
  </si>
  <si>
    <t xml:space="preserve">Categoría original</t>
  </si>
  <si>
    <t xml:space="preserve">Etiquetas originales</t>
  </si>
  <si>
    <t xml:space="preserve">Incorporación</t>
  </si>
  <si>
    <t xml:space="preserve">UY-001</t>
  </si>
  <si>
    <t xml:space="preserve">Análisis y estadísticas agropecuarias — OPYPA</t>
  </si>
  <si>
    <t xml:space="preserve">MGAP / OPYPA</t>
  </si>
  <si>
    <t xml:space="preserve">Nacional</t>
  </si>
  <si>
    <t xml:space="preserve">Público nacional</t>
  </si>
  <si>
    <t xml:space="preserve">Repositorio estadístico</t>
  </si>
  <si>
    <t xml:space="preserve">Análisis anual de cadenas agropecuarias, coyuntura y políticas sectoriales.</t>
  </si>
  <si>
    <t xml:space="preserve">https://www.gub.uy/ministerio-ganaderia-agricultura-pesca/opypa</t>
  </si>
  <si>
    <t xml:space="preserve">T04 · Agro y cadenas agroindustriales</t>
  </si>
  <si>
    <t xml:space="preserve">T01</t>
  </si>
  <si>
    <t xml:space="preserve">4 · Análisis e informes</t>
  </si>
  <si>
    <t xml:space="preserve">Por verificar</t>
  </si>
  <si>
    <t xml:space="preserve">2025: anuario</t>
  </si>
  <si>
    <t xml:space="preserve">Repositorio de estudios; no equivale a un tablero en tiempo real.</t>
  </si>
  <si>
    <t xml:space="preserve">2026-10-02</t>
  </si>
  <si>
    <t xml:space="preserve">Productivo y económico</t>
  </si>
  <si>
    <t xml:space="preserve">agro; economía; políticas; sectores</t>
  </si>
  <si>
    <t xml:space="preserve">Relevamiento 02/10/2026</t>
  </si>
  <si>
    <t xml:space="preserve">UY-002</t>
  </si>
  <si>
    <t xml:space="preserve">Centro de Información</t>
  </si>
  <si>
    <t xml:space="preserve">Uruguay XXI</t>
  </si>
  <si>
    <t xml:space="preserve">Público no estatal</t>
  </si>
  <si>
    <t xml:space="preserve">Portal estadístico</t>
  </si>
  <si>
    <t xml:space="preserve">Reúne informes comerciales, sectoriales, de inversión y herramientas estadísticas.</t>
  </si>
  <si>
    <t xml:space="preserve">https://www.uruguayxxi.gub.uy/es/centro-informacion/</t>
  </si>
  <si>
    <t xml:space="preserve">T03 · Comercio exterior e inversión</t>
  </si>
  <si>
    <t xml:space="preserve">T07</t>
  </si>
  <si>
    <t xml:space="preserve">Septiembre 2026: exportaciones</t>
  </si>
  <si>
    <t xml:space="preserve">Combina informes recurrentes y aplicaciones interactivas.</t>
  </si>
  <si>
    <t xml:space="preserve">exportaciones; inversión; sectores; comercio-exterior</t>
  </si>
  <si>
    <t xml:space="preserve">UY-003</t>
  </si>
  <si>
    <t xml:space="preserve">Centro de Información Logística</t>
  </si>
  <si>
    <t xml:space="preserve">INALOG</t>
  </si>
  <si>
    <t xml:space="preserve">Informes sectoriales, análisis y estadísticas de operaciones logísticas del país.</t>
  </si>
  <si>
    <t xml:space="preserve">https://www.inalog.org.uy/centro-de-informacion/</t>
  </si>
  <si>
    <t xml:space="preserve">T08 · Logística, transporte de cargas e infraestructura</t>
  </si>
  <si>
    <t xml:space="preserve">T03</t>
  </si>
  <si>
    <t xml:space="preserve">2 · Indicadores y series</t>
  </si>
  <si>
    <t xml:space="preserve">El Sistema de Información Logística alimenta estudios; no se confirmó acceso público integral a su base.</t>
  </si>
  <si>
    <t xml:space="preserve">logística; puertos; cargas; comercio-exterior</t>
  </si>
  <si>
    <t xml:space="preserve">UY-004</t>
  </si>
  <si>
    <t xml:space="preserve">Datos y estadísticas económicas</t>
  </si>
  <si>
    <t xml:space="preserve">MEF</t>
  </si>
  <si>
    <t xml:space="preserve">Información fiscal, deuda y otras series económicas del Ministerio de Economía y Finanzas.</t>
  </si>
  <si>
    <t xml:space="preserve">https://www.gub.uy/ministerio-economia-finanzas/datos-y-estadisticas/datos</t>
  </si>
  <si>
    <t xml:space="preserve">T02 · Finanzas públicas, tributación y presupuesto</t>
  </si>
  <si>
    <t xml:space="preserve">Agosto 2026: resultado fiscal</t>
  </si>
  <si>
    <t xml:space="preserve">Las series tienen calendarios propios.</t>
  </si>
  <si>
    <t xml:space="preserve">https://www.gub.uy/ministerio-economia-finanzas/datos-y-estadisticas/datos
https://www.gub.uy/ministerio-economia-finanzas/</t>
  </si>
  <si>
    <t xml:space="preserve">finanzas-públicas; macroeconomía; deuda</t>
  </si>
  <si>
    <t xml:space="preserve">UY-005</t>
  </si>
  <si>
    <t xml:space="preserve">Estadísticas agropecuarias — DIEA</t>
  </si>
  <si>
    <t xml:space="preserve">MGAP / DIEA</t>
  </si>
  <si>
    <t xml:space="preserve">Nacional y departamental</t>
  </si>
  <si>
    <t xml:space="preserve">Censos, encuestas, anuarios y estadísticas de producción y mercado de tierras.</t>
  </si>
  <si>
    <t xml:space="preserve">https://www.gub.uy/ministerio-ganaderia-agricultura-pesca/diea</t>
  </si>
  <si>
    <t xml:space="preserve">2025: arrendamientos; 2024: censo</t>
  </si>
  <si>
    <t xml:space="preserve">2026-09-09</t>
  </si>
  <si>
    <t xml:space="preserve">Fecha indicada: publicación sobre arrendamientos 2025.</t>
  </si>
  <si>
    <t xml:space="preserve">agro; tierras; censo-agropecuario; producción</t>
  </si>
  <si>
    <t xml:space="preserve">UY-006</t>
  </si>
  <si>
    <t xml:space="preserve">Estadísticas de comercio y operaciones aduaneras</t>
  </si>
  <si>
    <t xml:space="preserve">Dirección Nacional de Aduanas</t>
  </si>
  <si>
    <t xml:space="preserve">Estadísticas de declaraciones aduaneras, movimientos comerciales y otros procedimientos.</t>
  </si>
  <si>
    <t xml:space="preserve">https://www.aduanas.gub.uy/innovaportal/v/4239/4/innova.front/estadisticas.html</t>
  </si>
  <si>
    <t xml:space="preserve">Conjuntos y períodos heterogéneos.</t>
  </si>
  <si>
    <t xml:space="preserve">aduanas; comercio-exterior; encomiendas; incautaciones</t>
  </si>
  <si>
    <t xml:space="preserve">UY-007</t>
  </si>
  <si>
    <t xml:space="preserve">Estadísticas de telecomunicaciones</t>
  </si>
  <si>
    <t xml:space="preserve">URSEC</t>
  </si>
  <si>
    <t xml:space="preserve">Informes e indicadores del mercado de telecomunicaciones.</t>
  </si>
  <si>
    <t xml:space="preserve">https://www.gub.uy/unidad-reguladora-servicios-comunicaciones/tematica/servicios-telecomunicaciones</t>
  </si>
  <si>
    <t xml:space="preserve">T10 · Telecomunicaciones y sociedad digital</t>
  </si>
  <si>
    <t xml:space="preserve">Diciembre 2025</t>
  </si>
  <si>
    <t xml:space="preserve">2026-07-10</t>
  </si>
  <si>
    <t xml:space="preserve">Fecha de publicación del informe con datos a diciembre de 2025.</t>
  </si>
  <si>
    <t xml:space="preserve">telecomunicaciones; conectividad; mercados; digital</t>
  </si>
  <si>
    <t xml:space="preserve">UY-008</t>
  </si>
  <si>
    <t xml:space="preserve">Estadísticas e indicadores económicos</t>
  </si>
  <si>
    <t xml:space="preserve">BCU</t>
  </si>
  <si>
    <t xml:space="preserve">Series monetarias, financieras, cambiarias, de actividad y de relaciones económicas con el exterior.</t>
  </si>
  <si>
    <t xml:space="preserve">https://www.bcu.gub.uy/Estadisticas-e-Indicadores/Paginas/default.aspx</t>
  </si>
  <si>
    <t xml:space="preserve">T01 · Macroeconomía y cuentas nacionales</t>
  </si>
  <si>
    <t xml:space="preserve">Junio 2026: IMAE</t>
  </si>
  <si>
    <t xml:space="preserve">El período indicado corresponde a una serie, no a todas.</t>
  </si>
  <si>
    <t xml:space="preserve">macroeconomía; cuentas-nacionales; finanzas; sector-externo</t>
  </si>
  <si>
    <t xml:space="preserve">UY-009</t>
  </si>
  <si>
    <t xml:space="preserve">Estadísticas portuarias de Montevideo</t>
  </si>
  <si>
    <t xml:space="preserve">Administración Nacional de Puertos</t>
  </si>
  <si>
    <t xml:space="preserve">Puerto de Montevideo</t>
  </si>
  <si>
    <t xml:space="preserve">Series mensuales de operaciones y tráfico portuario.</t>
  </si>
  <si>
    <t xml:space="preserve">https://anp.com.uy/index.php/es/inicio/puertos/comerciales/montevideo/estadisticas/estadistica-por-mes-unidad-gestion-de-trafico</t>
  </si>
  <si>
    <t xml:space="preserve">Junio 2026</t>
  </si>
  <si>
    <t xml:space="preserve">Alcance del enlace: Unidad de Gestión de Tráfico de Montevideo.</t>
  </si>
  <si>
    <t xml:space="preserve">puertos; logística; cargas; transporte</t>
  </si>
  <si>
    <t xml:space="preserve">UY-010</t>
  </si>
  <si>
    <t xml:space="preserve">Estadísticas vitivinícolas</t>
  </si>
  <si>
    <t xml:space="preserve">INAVI</t>
  </si>
  <si>
    <t xml:space="preserve">Información estadística de viñedos, elaboración, existencias, comercialización y comercio exterior.</t>
  </si>
  <si>
    <t xml:space="preserve">https://inavi.com.uy/estadisticas/</t>
  </si>
  <si>
    <t xml:space="preserve">Años disponibles mediante selección; último año no comprobado.</t>
  </si>
  <si>
    <t xml:space="preserve">vitivinicultura; producción; ventas; exportaciones</t>
  </si>
  <si>
    <t xml:space="preserve">UY-011</t>
  </si>
  <si>
    <t xml:space="preserve">Estudios económicos de la construcción</t>
  </si>
  <si>
    <t xml:space="preserve">Cámara de la Construcción del Uruguay</t>
  </si>
  <si>
    <t xml:space="preserve">Sector empresarial</t>
  </si>
  <si>
    <t xml:space="preserve">Informes de actividad, empleo, precios, mercado inmobiliario y accidentes del sector.</t>
  </si>
  <si>
    <t xml:space="preserve">https://sitio.ccu.com.uy/estudios-economicos/</t>
  </si>
  <si>
    <t xml:space="preserve">T09 · Precios, consumo y construcción</t>
  </si>
  <si>
    <t xml:space="preserve">T14</t>
  </si>
  <si>
    <t xml:space="preserve">Abril 2025: índices de precios</t>
  </si>
  <si>
    <t xml:space="preserve">Período confirmado solo para los índices encontrados.</t>
  </si>
  <si>
    <t xml:space="preserve">https://sitio.ccu.com.uy/estudios-economicos/
https://sitio.ccu.com.uy/estudios-economicos/precios-indicadores-financieros-y-de-interes/indicadores-de-precios/</t>
  </si>
  <si>
    <t xml:space="preserve">construcción; empleo; precios; inmuebles</t>
  </si>
  <si>
    <t xml:space="preserve">UY-012</t>
  </si>
  <si>
    <t xml:space="preserve">Explorador de datos forestales</t>
  </si>
  <si>
    <t xml:space="preserve">MGAP / Dirección General Forestal</t>
  </si>
  <si>
    <t xml:space="preserve">Visualizador</t>
  </si>
  <si>
    <t xml:space="preserve">Consulta visual de superficie forestal, producción y comercio de productos forestales.</t>
  </si>
  <si>
    <t xml:space="preserve">https://www.gub.uy/ministerio-ganaderia-agricultura-pesca/pagina-embebida/datos-forestales</t>
  </si>
  <si>
    <t xml:space="preserve">3 · Visualización interactiva</t>
  </si>
  <si>
    <t xml:space="preserve">2025; cartografía 2024</t>
  </si>
  <si>
    <t xml:space="preserve">2026-08-11</t>
  </si>
  <si>
    <t xml:space="preserve">Lanzamiento del explorador en agosto de 2026; incluye series desde 1975.</t>
  </si>
  <si>
    <t xml:space="preserve">https://www.gub.uy/ministerio-ganaderia-agricultura-pesca/pagina-embebida/datos-forestales
https://www.gub.uy/ministerio-ganaderia-agricultura-pesca/noticias/explorador-interactivo-forestal</t>
  </si>
  <si>
    <t xml:space="preserve">forestación; superficie; producción; exportaciones</t>
  </si>
  <si>
    <t xml:space="preserve">UY-013</t>
  </si>
  <si>
    <t xml:space="preserve">Indicadores del sector lácteo</t>
  </si>
  <si>
    <t xml:space="preserve">INALE</t>
  </si>
  <si>
    <t xml:space="preserve">Indicadores sobre producción, remisión, precios y comercio de productos lácteos.</t>
  </si>
  <si>
    <t xml:space="preserve">https://www.inale.org/</t>
  </si>
  <si>
    <t xml:space="preserve">Septiembre 2026: indicadores mensuales</t>
  </si>
  <si>
    <t xml:space="preserve">2026-10-01</t>
  </si>
  <si>
    <t xml:space="preserve">Acceso desde la portada institucional; cada serie tiene su propio corte.</t>
  </si>
  <si>
    <t xml:space="preserve">lechería; precios; remisión; exportaciones</t>
  </si>
  <si>
    <t xml:space="preserve">UY-014</t>
  </si>
  <si>
    <t xml:space="preserve">Monitor de Coyuntura Económica</t>
  </si>
  <si>
    <t xml:space="preserve">Universidad Católica del Uruguay</t>
  </si>
  <si>
    <t xml:space="preserve">Académico</t>
  </si>
  <si>
    <t xml:space="preserve">Monitor</t>
  </si>
  <si>
    <t xml:space="preserve">Seguimiento periódico de indicadores económicos y análisis de coyuntura.</t>
  </si>
  <si>
    <t xml:space="preserve">https://www.ucu.edu.uy/Institucionales/MONITOR-DE-COYUNTURA-uc1457</t>
  </si>
  <si>
    <t xml:space="preserve">T14; T09</t>
  </si>
  <si>
    <t xml:space="preserve">2026-09-29</t>
  </si>
  <si>
    <t xml:space="preserve">Fecha de publicación del monitor; último período de cada serie no auditado.</t>
  </si>
  <si>
    <t xml:space="preserve">macroeconomía; actividad; empleo; precios</t>
  </si>
  <si>
    <t xml:space="preserve">UY-015</t>
  </si>
  <si>
    <t xml:space="preserve">Monitor de Inversión Extranjera Directa</t>
  </si>
  <si>
    <t xml:space="preserve">Informes periódicos sobre inversión extranjera y empresas internacionales en Uruguay.</t>
  </si>
  <si>
    <t xml:space="preserve">https://www.uruguayxxi.gub.uy/es/centro-informacion/inversor/informes/informes-de-mensual/</t>
  </si>
  <si>
    <t xml:space="preserve">Centro de Información — Uruguay XXI</t>
  </si>
  <si>
    <t xml:space="preserve">Se localizó edición de abril de 2026; no se trasladó esa fecha al período de todos los datos.</t>
  </si>
  <si>
    <t xml:space="preserve">inversión-extranjera; empresas; sector-externo</t>
  </si>
  <si>
    <t xml:space="preserve">UY-016</t>
  </si>
  <si>
    <t xml:space="preserve">Monitor Macroeconómico</t>
  </si>
  <si>
    <t xml:space="preserve">Módulo</t>
  </si>
  <si>
    <t xml:space="preserve">Indicadores seleccionados para seguir el contexto económico uruguayo.</t>
  </si>
  <si>
    <t xml:space="preserve">https://www.uruguayxxi.gub.uy/es/centro-informacion/monitor-macroeconomico/</t>
  </si>
  <si>
    <t xml:space="preserve">Consultar fecha de cada indicador.</t>
  </si>
  <si>
    <t xml:space="preserve">macroeconomía; actividad; precios; empleo</t>
  </si>
  <si>
    <t xml:space="preserve">UY-017</t>
  </si>
  <si>
    <t xml:space="preserve">Monitor Mipymes</t>
  </si>
  <si>
    <t xml:space="preserve">ANDE</t>
  </si>
  <si>
    <t xml:space="preserve">Empresas, empleo, ventas, emprendimientos y financiamiento de las mipymes.</t>
  </si>
  <si>
    <t xml:space="preserve">https://monitor.ande.org.uy/home.aspx</t>
  </si>
  <si>
    <t xml:space="preserve">T07 · Empresas, mipymes y emprendimiento</t>
  </si>
  <si>
    <t xml:space="preserve">E01 · Género</t>
  </si>
  <si>
    <t xml:space="preserve">Sí</t>
  </si>
  <si>
    <t xml:space="preserve">2.º trimestre 2026; mayo 2026 en series mensuales</t>
  </si>
  <si>
    <t xml:space="preserve">Las series anuales tienen distintos rezagos: empresas y ventas 2024; empleo 2025.</t>
  </si>
  <si>
    <t xml:space="preserve">mipymes; empresas; empleo; género; microfinanzas</t>
  </si>
  <si>
    <t xml:space="preserve">UY-018</t>
  </si>
  <si>
    <t xml:space="preserve">Monitoreo Industrial</t>
  </si>
  <si>
    <t xml:space="preserve">Cámara de Industrias del Uruguay</t>
  </si>
  <si>
    <t xml:space="preserve">Series, encuestas e informes recurrentes sobre desempeño de la industria.</t>
  </si>
  <si>
    <t xml:space="preserve">https://www.ciu.com.uy/monitoreo-industrial/</t>
  </si>
  <si>
    <t xml:space="preserve">T05 · Industria y manufactura</t>
  </si>
  <si>
    <t xml:space="preserve">T14; T03</t>
  </si>
  <si>
    <t xml:space="preserve">Agosto 2026: comercio exterior</t>
  </si>
  <si>
    <t xml:space="preserve">2026-09-17</t>
  </si>
  <si>
    <t xml:space="preserve">Incluye distintas frecuencias según producto.</t>
  </si>
  <si>
    <t xml:space="preserve">industria; precios; empleo; expectativas; comercio-exterior</t>
  </si>
  <si>
    <t xml:space="preserve">UY-019</t>
  </si>
  <si>
    <t xml:space="preserve">Observatorio de Oleaginosos</t>
  </si>
  <si>
    <t xml:space="preserve">Mesa Tecnológica de Oleaginosos</t>
  </si>
  <si>
    <t xml:space="preserve">Observatorio</t>
  </si>
  <si>
    <t xml:space="preserve">Informes e indicadores de desempeño de cultivos y cadenas de oleaginosos.</t>
  </si>
  <si>
    <t xml:space="preserve">https://oleaginosos.org.uy/observatorio</t>
  </si>
  <si>
    <t xml:space="preserve">Zafra 2024/2025</t>
  </si>
  <si>
    <t xml:space="preserve">Fuente sectorial e interinstitucional.</t>
  </si>
  <si>
    <t xml:space="preserve">agricultura; oleaginosos; soja; zafras</t>
  </si>
  <si>
    <t xml:space="preserve">UY-020</t>
  </si>
  <si>
    <t xml:space="preserve">Observatorio Económico de Salto</t>
  </si>
  <si>
    <t xml:space="preserve">Salto y frontera</t>
  </si>
  <si>
    <t xml:space="preserve">Estudios e indicadores sobre economía regional y diferencias de precios en la frontera.</t>
  </si>
  <si>
    <t xml:space="preserve">https://www.ucu.edu.uy/Institucionales/OBSERVATORIO-ECONOMICO-DE-SALTO-uc2511</t>
  </si>
  <si>
    <t xml:space="preserve">E09 · Territorial y subnacional</t>
  </si>
  <si>
    <t xml:space="preserve">Última edición no comprobada.</t>
  </si>
  <si>
    <t xml:space="preserve">frontera; precios; comercio; economía-regional</t>
  </si>
  <si>
    <t xml:space="preserve">UY-021</t>
  </si>
  <si>
    <t xml:space="preserve">Observatorio Granjero</t>
  </si>
  <si>
    <t xml:space="preserve">UAM / MGAP</t>
  </si>
  <si>
    <t xml:space="preserve">Interinstitucional / mixto</t>
  </si>
  <si>
    <t xml:space="preserve">Boletines de precios mayoristas, oferta y análisis de productos hortifrutícolas.</t>
  </si>
  <si>
    <t xml:space="preserve">https://uam.com.uy/boletin-de-precios-mayoristas/</t>
  </si>
  <si>
    <t xml:space="preserve">T09</t>
  </si>
  <si>
    <t xml:space="preserve">Entrada por boletines de UAM; fecha del último boletín no comprobada.</t>
  </si>
  <si>
    <t xml:space="preserve">horticultura; fruticultura; precios; mercados</t>
  </si>
  <si>
    <t xml:space="preserve">UY-022</t>
  </si>
  <si>
    <t xml:space="preserve">Observatorio Industrial</t>
  </si>
  <si>
    <t xml:space="preserve">MIEM</t>
  </si>
  <si>
    <t xml:space="preserve">Indicadores y análisis sobre actividad manufacturera, estructura industrial y desempeño sectorial.</t>
  </si>
  <si>
    <t xml:space="preserve">https://observatorio.miem.gub.uy/obs/</t>
  </si>
  <si>
    <t xml:space="preserve">Julio 2026: IVF</t>
  </si>
  <si>
    <t xml:space="preserve">Contenido indexado; el tablero dinámico no pudo auditarse íntegramente.</t>
  </si>
  <si>
    <t xml:space="preserve">industria; producción; empleo; inversión</t>
  </si>
  <si>
    <t xml:space="preserve">UY-023</t>
  </si>
  <si>
    <t xml:space="preserve">Observatorio TI</t>
  </si>
  <si>
    <t xml:space="preserve">CUTI</t>
  </si>
  <si>
    <t xml:space="preserve">Indicadores de empresas tecnológicas, talento, empleo y exportaciones del sector.</t>
  </si>
  <si>
    <t xml:space="preserve">https://observatorioti.cuti.org.uy/</t>
  </si>
  <si>
    <t xml:space="preserve">T13 · Sector tecnológico y software</t>
  </si>
  <si>
    <t xml:space="preserve">T14; T03; T11</t>
  </si>
  <si>
    <t xml:space="preserve">2024: encuesta sectorial</t>
  </si>
  <si>
    <t xml:space="preserve">No confundir el año de publicación con el período de la encuesta.</t>
  </si>
  <si>
    <t xml:space="preserve">tecnologías-digitales; software; empleo; exportaciones</t>
  </si>
  <si>
    <t xml:space="preserve">UY-024</t>
  </si>
  <si>
    <t xml:space="preserve">Observatorio Turístico de Montevideo</t>
  </si>
  <si>
    <t xml:space="preserve">Intendencia de Montevideo</t>
  </si>
  <si>
    <t xml:space="preserve">Departamental</t>
  </si>
  <si>
    <t xml:space="preserve">Gobierno departamental</t>
  </si>
  <si>
    <t xml:space="preserve">Montevideo</t>
  </si>
  <si>
    <t xml:space="preserve">Información e indicadores para analizar el turismo del departamento.</t>
  </si>
  <si>
    <t xml:space="preserve">https://www.descubrimontevideo.uy/macrodatos/</t>
  </si>
  <si>
    <t xml:space="preserve">T06 · Turismo</t>
  </si>
  <si>
    <t xml:space="preserve">Montevidata</t>
  </si>
  <si>
    <t xml:space="preserve">Se accede desde Montevidata al sitio Descubrí Montevideo.</t>
  </si>
  <si>
    <t xml:space="preserve">montevideo; turismo; visitantes; gasto</t>
  </si>
  <si>
    <t xml:space="preserve">UY-025</t>
  </si>
  <si>
    <t xml:space="preserve">Observatorio Turístico Inteligente</t>
  </si>
  <si>
    <t xml:space="preserve">Ministerio de Turismo</t>
  </si>
  <si>
    <t xml:space="preserve">Herramientas para analizar turismo receptivo, emisivo, interno y de cruceros.</t>
  </si>
  <si>
    <t xml:space="preserve">https://turismo.gub.uy/observatorio/index.html</t>
  </si>
  <si>
    <t xml:space="preserve">1.er trimestre 2026: informe receptivo</t>
  </si>
  <si>
    <t xml:space="preserve">El período corresponde al informe localizado; otros paneles pueden tener distinto corte.</t>
  </si>
  <si>
    <t xml:space="preserve">https://turismo.gub.uy/observatorio/index.html
https://www.gub.uy/ministerio-turismo/tematica/observatorios-turisticos</t>
  </si>
  <si>
    <t xml:space="preserve">turismo; visitantes; gasto; cruceros</t>
  </si>
  <si>
    <t xml:space="preserve">UY-026</t>
  </si>
  <si>
    <t xml:space="preserve">Publicaciones, informes y series de la cadena cárnica</t>
  </si>
  <si>
    <t xml:space="preserve">INAC</t>
  </si>
  <si>
    <t xml:space="preserve">Series e informes sobre faena, precios, exportaciones y desempeño de la cadena cárnica.</t>
  </si>
  <si>
    <t xml:space="preserve">https://www.inac.uy/innovaportal/v/26276/37/innova.bs/publicaciones-informes-y-series</t>
  </si>
  <si>
    <t xml:space="preserve">T03; T09</t>
  </si>
  <si>
    <t xml:space="preserve">Los indicadores semanales pueden ser más recientes que el anuario.</t>
  </si>
  <si>
    <t xml:space="preserve">ganadería; carne; faena; exportaciones; precios</t>
  </si>
  <si>
    <t xml:space="preserve">UY-027</t>
  </si>
  <si>
    <t xml:space="preserve">Recaudación anual y mensual por impuesto</t>
  </si>
  <si>
    <t xml:space="preserve">DGI</t>
  </si>
  <si>
    <t xml:space="preserve">Series de ingresos tributarios desagregadas por impuesto y período.</t>
  </si>
  <si>
    <t xml:space="preserve">https://www.gub.uy/direccion-general-impositiva/datos-y-estadisticas/estadisticas/recaudacion-anual-mensual-impuesto</t>
  </si>
  <si>
    <t xml:space="preserve">Julio 2026</t>
  </si>
  <si>
    <t xml:space="preserve">Fecha de actualización de la página consultada.</t>
  </si>
  <si>
    <t xml:space="preserve">tributación; recaudación; finanzas-públicas</t>
  </si>
  <si>
    <t xml:space="preserve">UY-028</t>
  </si>
  <si>
    <t xml:space="preserve">Series históricas agropecuarias</t>
  </si>
  <si>
    <t xml:space="preserve">MGAP</t>
  </si>
  <si>
    <t xml:space="preserve">Base de datos</t>
  </si>
  <si>
    <t xml:space="preserve">Consulta de series históricas de indicadores agropecuarios.</t>
  </si>
  <si>
    <t xml:space="preserve">https://www.mgap.gub.uy/SeriesHistoricas/hshistoricas.aspx</t>
  </si>
  <si>
    <t xml:space="preserve">1 · Datos</t>
  </si>
  <si>
    <t xml:space="preserve">El acceso observado solicita registro.</t>
  </si>
  <si>
    <t xml:space="preserve">agro; series-históricas; producción</t>
  </si>
  <si>
    <t xml:space="preserve">UY-029</t>
  </si>
  <si>
    <t xml:space="preserve">Sistema de estadísticas de comercio exterior</t>
  </si>
  <si>
    <t xml:space="preserve">Consulta de flujos comerciales por producto, mercado y período.</t>
  </si>
  <si>
    <t xml:space="preserve">https://herramientas.uruguayxxi.gub.uy/sistema_de_estadistica/</t>
  </si>
  <si>
    <t xml:space="preserve">Último período disponible no comprobado.</t>
  </si>
  <si>
    <t xml:space="preserve">exportaciones; importaciones; productos; destinos</t>
  </si>
  <si>
    <t xml:space="preserve">UY-030</t>
  </si>
  <si>
    <t xml:space="preserve">Sistema de Información de Precios al Consumidor</t>
  </si>
  <si>
    <t xml:space="preserve">MEF / Defensa del Consumidor</t>
  </si>
  <si>
    <t xml:space="preserve">Comparación de precios de productos y establecimientos para consumidores.</t>
  </si>
  <si>
    <t xml:space="preserve">https://www.precios.uy/</t>
  </si>
  <si>
    <t xml:space="preserve">Actualización por producto y establecimiento; último corte no comprobado.</t>
  </si>
  <si>
    <t xml:space="preserve">precios; consumo; comercio</t>
  </si>
  <si>
    <t xml:space="preserve">UY-031</t>
  </si>
  <si>
    <t xml:space="preserve">Sistema Nacional de Información Agropecuaria — SNIA</t>
  </si>
  <si>
    <t xml:space="preserve">Geoportal</t>
  </si>
  <si>
    <t xml:space="preserve">Integración de información agropecuaria y acceso a visores temáticos.</t>
  </si>
  <si>
    <t xml:space="preserve">https://www.snia.gub.uy/dibujos/arbol-de-visores</t>
  </si>
  <si>
    <t xml:space="preserve">T35; T37; T41</t>
  </si>
  <si>
    <t xml:space="preserve">Enlace del directorio oficial IDE; carga del destino no confirmada.</t>
  </si>
  <si>
    <t xml:space="preserve">https://www.gub.uy/infraestructura-datos-espaciales/nodos-ideuy</t>
  </si>
  <si>
    <t xml:space="preserve">agro; geodatos; clima; suelos</t>
  </si>
  <si>
    <t xml:space="preserve">UY-032</t>
  </si>
  <si>
    <t xml:space="preserve">Visor CONEAT, suelos y campo natural</t>
  </si>
  <si>
    <t xml:space="preserve">MGAP / DGRN</t>
  </si>
  <si>
    <t xml:space="preserve">Cartografía de grupos de suelos, productividad y recursos naturales de uso agropecuario.</t>
  </si>
  <si>
    <t xml:space="preserve">https://dgrn.mgap.gub.uy/js/visores/dgrn/</t>
  </si>
  <si>
    <t xml:space="preserve">T37 · Suelos, geología y recursos naturales</t>
  </si>
  <si>
    <t xml:space="preserve">T04; T41</t>
  </si>
  <si>
    <t xml:space="preserve">La vigencia varía por capa cartográfica.</t>
  </si>
  <si>
    <t xml:space="preserve">suelos; coneat; agro; geodatos</t>
  </si>
  <si>
    <t xml:space="preserve">UY-033</t>
  </si>
  <si>
    <t xml:space="preserve">A Tu Servicio</t>
  </si>
  <si>
    <t xml:space="preserve">MSP / DATA Uruguay</t>
  </si>
  <si>
    <t xml:space="preserve">Comparación de prestadores de salud mediante indicadores de servicios, desempeño y atención.</t>
  </si>
  <si>
    <t xml:space="preserve">https://atuservicio.uy/</t>
  </si>
  <si>
    <t xml:space="preserve">T22 · Salud y sistema sanitario</t>
  </si>
  <si>
    <t xml:space="preserve">Catálogo fuente actualizado en abril de 2025; esa fecha no acredita el corte actual del sitio.</t>
  </si>
  <si>
    <t xml:space="preserve">https://github.com/datauy/atuservicio
https://catalogodatos.gub.uy/dataset/msp-a-tu-servicio</t>
  </si>
  <si>
    <t xml:space="preserve">Social y salud</t>
  </si>
  <si>
    <t xml:space="preserve">salud; prestadores; calidad; usuarios</t>
  </si>
  <si>
    <t xml:space="preserve">UY-034</t>
  </si>
  <si>
    <t xml:space="preserve">Datos abiertos de INEFOP</t>
  </si>
  <si>
    <t xml:space="preserve">INEFOP</t>
  </si>
  <si>
    <t xml:space="preserve">Catálogo institucional</t>
  </si>
  <si>
    <t xml:space="preserve">Conjuntos de datos institucionales sobre gestión y transparencia del instituto.</t>
  </si>
  <si>
    <t xml:space="preserve">https://catalogodatos.gub.uy/organization/instituto-nacional-de-empleo-y-formacion-profesional</t>
  </si>
  <si>
    <t xml:space="preserve">T21 · Formación profesional y capacitación</t>
  </si>
  <si>
    <t xml:space="preserve">T14; T44</t>
  </si>
  <si>
    <t xml:space="preserve">Catálogo Nacional de Datos Abiertos</t>
  </si>
  <si>
    <t xml:space="preserve">Se confirmó la incorporación al catálogo nacional y once conjuntos publicados; fecha por conjunto.</t>
  </si>
  <si>
    <t xml:space="preserve">https://www.inefop.uy/post/inefop-se-integra-al-cat%C3%A1logo-nacional-de-datos-abiertos-y-avanza-en-apertura-de-datos</t>
  </si>
  <si>
    <t xml:space="preserve">formación-profesional; empleo; gestión; datos-abiertos</t>
  </si>
  <si>
    <t xml:space="preserve">UY-035</t>
  </si>
  <si>
    <t xml:space="preserve">Estadísticas del mercado de trabajo</t>
  </si>
  <si>
    <t xml:space="preserve">MTSS / Unidad Estadística</t>
  </si>
  <si>
    <t xml:space="preserve">Informes y estadísticas sobre empleo, condiciones laborales y otros temas del trabajo.</t>
  </si>
  <si>
    <t xml:space="preserve">https://www.gub.uy/ministerio-trabajo-seguridad-social/unidad-estadistica-mtss</t>
  </si>
  <si>
    <t xml:space="preserve">T14 · Empleo y mercado de trabajo</t>
  </si>
  <si>
    <t xml:space="preserve">T15</t>
  </si>
  <si>
    <t xml:space="preserve">2025: empleo cooperativo; 2024: accidentes</t>
  </si>
  <si>
    <t xml:space="preserve">Períodos diferentes según informe.</t>
  </si>
  <si>
    <t xml:space="preserve">https://www.gub.uy/ministerio-trabajo-seguridad-social/unidad-estadistica-mtss
https://www.gub.uy/ministerio-trabajo-seguridad-social/datos-y-estadisticas/estadisticas</t>
  </si>
  <si>
    <t xml:space="preserve">empleo; salarios; relaciones-laborales; accidentes</t>
  </si>
  <si>
    <t xml:space="preserve">UY-036</t>
  </si>
  <si>
    <t xml:space="preserve">Estadísticas vitales</t>
  </si>
  <si>
    <t xml:space="preserve">Ministerio de Salud Pública</t>
  </si>
  <si>
    <t xml:space="preserve">Series y publicaciones sobre nacimientos, defunciones y otros hechos vitales.</t>
  </si>
  <si>
    <t xml:space="preserve">https://www.gub.uy/ministerio-salud-publica/datos-y-estadisticas/estadisticas/estadisticas-vitales</t>
  </si>
  <si>
    <t xml:space="preserve">T25 · Población, demografía y estadísticas vitales</t>
  </si>
  <si>
    <t xml:space="preserve">T22</t>
  </si>
  <si>
    <t xml:space="preserve">Último período disponible no comprobado en este relevamiento.</t>
  </si>
  <si>
    <t xml:space="preserve">salud; natalidad; mortalidad; demografía</t>
  </si>
  <si>
    <t xml:space="preserve">UY-037</t>
  </si>
  <si>
    <t xml:space="preserve">Infancia en Datos</t>
  </si>
  <si>
    <t xml:space="preserve">UNICEF Uruguay</t>
  </si>
  <si>
    <t xml:space="preserve">Internacional, sección Uruguay</t>
  </si>
  <si>
    <t xml:space="preserve">Portal de indicadores</t>
  </si>
  <si>
    <t xml:space="preserve">Uruguay</t>
  </si>
  <si>
    <t xml:space="preserve">Presentaciones y análisis de evidencia sobre infancia, adolescencia y acceso a derechos.</t>
  </si>
  <si>
    <t xml:space="preserve">https://www.unicef.org/uruguay/infancia-en-datos</t>
  </si>
  <si>
    <t xml:space="preserve">T17 · Pobreza, desigualdad y condiciones de vida</t>
  </si>
  <si>
    <t xml:space="preserve">T22; T27</t>
  </si>
  <si>
    <t xml:space="preserve">E02 · Infancia y adolescencia; E08 · Enfoque de derechos</t>
  </si>
  <si>
    <t xml:space="preserve">2025: censo de adolescentes privados de libertad</t>
  </si>
  <si>
    <t xml:space="preserve">Período indicado para un estudio; otras publicaciones usan Censo 2023 y encuestas distintas.</t>
  </si>
  <si>
    <t xml:space="preserve">infancia; adolescencia; pobreza; salud; educación</t>
  </si>
  <si>
    <t xml:space="preserve">UY-038</t>
  </si>
  <si>
    <t xml:space="preserve">Información y observación del personal de salud</t>
  </si>
  <si>
    <t xml:space="preserve">Portal temático</t>
  </si>
  <si>
    <t xml:space="preserve">Estadísticas y estudios relativos a disponibilidad y características del personal sanitario.</t>
  </si>
  <si>
    <t xml:space="preserve">https://www.gub.uy/ministerio-salud-publica/personal-salud</t>
  </si>
  <si>
    <t xml:space="preserve">Acceso institucional a recursos e información del área.</t>
  </si>
  <si>
    <t xml:space="preserve">salud; recursos-humanos; empleo; profesionales</t>
  </si>
  <si>
    <t xml:space="preserve">UY-039</t>
  </si>
  <si>
    <t xml:space="preserve">Informes de población y proyectos atendidos</t>
  </si>
  <si>
    <t xml:space="preserve">INAU</t>
  </si>
  <si>
    <t xml:space="preserve">Informes de atención y cobertura de proyectos dirigidos a niños, niñas y adolescentes.</t>
  </si>
  <si>
    <t xml:space="preserve">https://www.inau.gub.uy/documentos/ano-2025</t>
  </si>
  <si>
    <t xml:space="preserve">T18 · Protección social y servicios sociales</t>
  </si>
  <si>
    <t xml:space="preserve">E02 · Infancia y adolescencia</t>
  </si>
  <si>
    <t xml:space="preserve">2025</t>
  </si>
  <si>
    <t xml:space="preserve">Enlace a la colección anual 2025.</t>
  </si>
  <si>
    <t xml:space="preserve">infancia; adolescencia; protección; servicios</t>
  </si>
  <si>
    <t xml:space="preserve">UY-040</t>
  </si>
  <si>
    <t xml:space="preserve">Mirador DESCA</t>
  </si>
  <si>
    <t xml:space="preserve">INDDHH y Defensoría del Pueblo</t>
  </si>
  <si>
    <t xml:space="preserve">Indicadores y análisis de derechos económicos, sociales, culturales y ambientales.</t>
  </si>
  <si>
    <t xml:space="preserve">https://www.miradordesca.uy/</t>
  </si>
  <si>
    <t xml:space="preserve">T48 · Derechos humanos</t>
  </si>
  <si>
    <t xml:space="preserve">T40; T22; T27; T32</t>
  </si>
  <si>
    <t xml:space="preserve">E08 · Enfoque de derechos</t>
  </si>
  <si>
    <t xml:space="preserve">Fechas y cobertura varían por dimensión.</t>
  </si>
  <si>
    <t xml:space="preserve">https://www.gub.uy/institucion-nacional-derechos-humanos-uruguay/tematica/estudios?page=0</t>
  </si>
  <si>
    <t xml:space="preserve">derechos-humanos; ambiente; vivienda; salud; educación</t>
  </si>
  <si>
    <t xml:space="preserve">UY-041</t>
  </si>
  <si>
    <t xml:space="preserve">Monitor de accidentes de trabajo</t>
  </si>
  <si>
    <t xml:space="preserve">Banco de Seguros del Estado</t>
  </si>
  <si>
    <t xml:space="preserve">Consulta de información estadística y bases de accidentes laborales atendidos por el BSE.</t>
  </si>
  <si>
    <t xml:space="preserve">https://hospital.bse.com.uy/portal-hospital/monitor-de-accidentes-de-trabajo</t>
  </si>
  <si>
    <t xml:space="preserve">T15 · Salud y seguridad laboral</t>
  </si>
  <si>
    <t xml:space="preserve">Último período del monitor no comprobado; no extrapolar fechas de otras estadísticas del hospital.</t>
  </si>
  <si>
    <t xml:space="preserve">salud-laboral; accidentes; empleo; prevención</t>
  </si>
  <si>
    <t xml:space="preserve">UY-042</t>
  </si>
  <si>
    <t xml:space="preserve">Monitoreo del mercado regulado del cannabis</t>
  </si>
  <si>
    <t xml:space="preserve">IRCCA</t>
  </si>
  <si>
    <t xml:space="preserve">Informes sobre usuarios, vías de acceso, producción y distribución del cannabis regulado.</t>
  </si>
  <si>
    <t xml:space="preserve">https://ircca.gub.uy/recursos-de-informacion/informes-del-mercado-regulado/</t>
  </si>
  <si>
    <t xml:space="preserve">T24 · Drogas y consumos</t>
  </si>
  <si>
    <t xml:space="preserve">Enero–abril 2026</t>
  </si>
  <si>
    <t xml:space="preserve">2026-05-11</t>
  </si>
  <si>
    <t xml:space="preserve">El informe 2026 se encuentra también en noticias; la colección principal destaca el cierre 2025.</t>
  </si>
  <si>
    <t xml:space="preserve">https://ircca.gub.uy/recursos-de-informacion/informes-del-mercado-regulado/
https://ircca.gub.uy/informe-del-mercado-de-cannabis-de-uso-adulto-en-uruguay-datos-actualizados-al-primer-cuatrimestre-de-2026-enero-a-abril/</t>
  </si>
  <si>
    <t xml:space="preserve">cannabis; mercado-regulado; salud; producción</t>
  </si>
  <si>
    <t xml:space="preserve">UY-043</t>
  </si>
  <si>
    <t xml:space="preserve">Observatorio / BPS en cifras</t>
  </si>
  <si>
    <t xml:space="preserve">Banco de Previsión Social</t>
  </si>
  <si>
    <t xml:space="preserve">Indicadores y series administrativas de prestaciones, beneficiarios y cotizantes.</t>
  </si>
  <si>
    <t xml:space="preserve">https://observatorio.bps.gub.uy/#/</t>
  </si>
  <si>
    <t xml:space="preserve">T16 · Seguridad social y pensiones</t>
  </si>
  <si>
    <t xml:space="preserve">2026: principales indicadores</t>
  </si>
  <si>
    <t xml:space="preserve">2026-07-02</t>
  </si>
  <si>
    <t xml:space="preserve">Fecha tomada de la entrada estadística oficial; aplicación dinámica no auditada íntegramente.</t>
  </si>
  <si>
    <t xml:space="preserve">https://www.bps.gub.uy/bps/observatorio/estadisticas.jsp</t>
  </si>
  <si>
    <t xml:space="preserve">seguridad-social; jubilaciones; cotizantes; prestaciones</t>
  </si>
  <si>
    <t xml:space="preserve">UY-044</t>
  </si>
  <si>
    <t xml:space="preserve">Observatorio de Cultura de Montevideo</t>
  </si>
  <si>
    <t xml:space="preserve">Información de actividades, infraestructura y políticas culturales municipales.</t>
  </si>
  <si>
    <t xml:space="preserve">https://montevidata.montevideo.gub.uy/cultura</t>
  </si>
  <si>
    <t xml:space="preserve">T30 · Cultura</t>
  </si>
  <si>
    <t xml:space="preserve">Fecha variable por tablero.</t>
  </si>
  <si>
    <t xml:space="preserve">montevideo; cultura; participación; equipamientos</t>
  </si>
  <si>
    <t xml:space="preserve">UY-045</t>
  </si>
  <si>
    <t xml:space="preserve">Observatorio de Género de la Udelar</t>
  </si>
  <si>
    <t xml:space="preserve">Universidad de la República</t>
  </si>
  <si>
    <t xml:space="preserve">Udelar</t>
  </si>
  <si>
    <t xml:space="preserve">Análisis y seguimiento de desigualdades de género en el ámbito universitario.</t>
  </si>
  <si>
    <t xml:space="preserve">https://udelar.edu.uy/observatorio-genero</t>
  </si>
  <si>
    <t xml:space="preserve">T29 · Educación superior y universidad</t>
  </si>
  <si>
    <t xml:space="preserve">Incluye estudios y memoria institucional; fecha de datos variable.</t>
  </si>
  <si>
    <t xml:space="preserve">https://udelar.edu.uy/observatorio-genero
https://udelar.edu.uy/observatorio-genero</t>
  </si>
  <si>
    <t xml:space="preserve">género; universidad; igualdad; instituciones</t>
  </si>
  <si>
    <t xml:space="preserve">UY-046</t>
  </si>
  <si>
    <t xml:space="preserve">Observatorio de Igualdad de Género de Montevideo</t>
  </si>
  <si>
    <t xml:space="preserve">Indicadores de políticas y servicios municipales vinculados a la igualdad de género.</t>
  </si>
  <si>
    <t xml:space="preserve">https://montevidata.montevideo.gub.uy/igualdad-de-genero</t>
  </si>
  <si>
    <t xml:space="preserve">T46</t>
  </si>
  <si>
    <t xml:space="preserve">E01 · Género; E09 · Territorial y subnacional</t>
  </si>
  <si>
    <t xml:space="preserve">Fecha variable por programa.</t>
  </si>
  <si>
    <t xml:space="preserve">montevideo; género; violencia; autonomía</t>
  </si>
  <si>
    <t xml:space="preserve">UY-047</t>
  </si>
  <si>
    <t xml:space="preserve">Observatorio de Infancia y Adolescencia</t>
  </si>
  <si>
    <t xml:space="preserve">OIA</t>
  </si>
  <si>
    <t xml:space="preserve">Naturaleza no corroborada</t>
  </si>
  <si>
    <t xml:space="preserve">Seguimiento y análisis de la situación de niños, niñas y adolescentes.</t>
  </si>
  <si>
    <t xml:space="preserve">https://oia.org.uy/</t>
  </si>
  <si>
    <t xml:space="preserve">T18; T27</t>
  </si>
  <si>
    <t xml:space="preserve">Datos e indicadores localizados; la página Nosotros no identifica instituciones responsables. Se requiere corroborar su adscripción.</t>
  </si>
  <si>
    <t xml:space="preserve">infancia; adolescencia; derechos; políticas-sociales</t>
  </si>
  <si>
    <t xml:space="preserve">UY-048</t>
  </si>
  <si>
    <t xml:space="preserve">Observatorio de Migraciones de Rivera</t>
  </si>
  <si>
    <t xml:space="preserve">Intendencia de Rivera</t>
  </si>
  <si>
    <t xml:space="preserve">Rivera</t>
  </si>
  <si>
    <t xml:space="preserve">Información y estudios sobre población migrante y procesos de integración local.</t>
  </si>
  <si>
    <t xml:space="preserve">https://www.rivera.gub.uy/social/observatorio/</t>
  </si>
  <si>
    <t xml:space="preserve">T26 · Migración y movilidad humana</t>
  </si>
  <si>
    <t xml:space="preserve">E06 · Migración; E09 · Territorial y subnacional</t>
  </si>
  <si>
    <t xml:space="preserve">No se comprobó un último corte estadístico.</t>
  </si>
  <si>
    <t xml:space="preserve">migración; frontera; integración; derechos</t>
  </si>
  <si>
    <t xml:space="preserve">UY-049</t>
  </si>
  <si>
    <t xml:space="preserve">Observatorio de Movilidad, Infancia y Familia — OMIF</t>
  </si>
  <si>
    <t xml:space="preserve">Recopilación de registros y estudios sobre migración, movilidad y familias.</t>
  </si>
  <si>
    <t xml:space="preserve">https://omif.cienciassociales.edu.uy/registros-administrativos/</t>
  </si>
  <si>
    <t xml:space="preserve">T25</t>
  </si>
  <si>
    <t xml:space="preserve">E02 · Infancia y adolescencia; E06 · Migración</t>
  </si>
  <si>
    <t xml:space="preserve">Acceso directo a registros administrativos.</t>
  </si>
  <si>
    <t xml:space="preserve">migración; familias; infancia; demografía</t>
  </si>
  <si>
    <t xml:space="preserve">UY-050</t>
  </si>
  <si>
    <t xml:space="preserve">Observatorio de Salud de Montevideo</t>
  </si>
  <si>
    <t xml:space="preserve">Indicadores sobre cobertura y atención de los servicios municipales de salud.</t>
  </si>
  <si>
    <t xml:space="preserve">https://montevidata.montevideo.gub.uy/salud</t>
  </si>
  <si>
    <t xml:space="preserve">Fecha variable por indicador.</t>
  </si>
  <si>
    <t xml:space="preserve">montevideo; salud; policlínicas; cobertura</t>
  </si>
  <si>
    <t xml:space="preserve">UY-051</t>
  </si>
  <si>
    <t xml:space="preserve">Observatorio de Seguridad Alimentaria y Nutricional — OBSAN</t>
  </si>
  <si>
    <t xml:space="preserve">MIDES / INDA</t>
  </si>
  <si>
    <t xml:space="preserve">Información y análisis sobre acceso a alimentos y situación alimentaria y nutricional.</t>
  </si>
  <si>
    <t xml:space="preserve">https://www.gub.uy/ministerio-desarrollo-social/obsan</t>
  </si>
  <si>
    <t xml:space="preserve">T20 · Alimentación y nutrición</t>
  </si>
  <si>
    <t xml:space="preserve">T17</t>
  </si>
  <si>
    <t xml:space="preserve">2025: inseguridad alimentaria</t>
  </si>
  <si>
    <t xml:space="preserve">Período del cuarto informe localizado.</t>
  </si>
  <si>
    <t xml:space="preserve">alimentación; nutrición; pobreza; seguridad-alimentaria</t>
  </si>
  <si>
    <t xml:space="preserve">UY-052</t>
  </si>
  <si>
    <t xml:space="preserve">Observatorio de Seguridad Social</t>
  </si>
  <si>
    <t xml:space="preserve">CINVE</t>
  </si>
  <si>
    <t xml:space="preserve">Sociedad civil / investigación</t>
  </si>
  <si>
    <t xml:space="preserve">Análisis, indicadores y seguimiento del sistema de seguridad social.</t>
  </si>
  <si>
    <t xml:space="preserve">https://www.observatorioseguridadsocial.org.uy/</t>
  </si>
  <si>
    <t xml:space="preserve">Julio 2026: mercado laboral</t>
  </si>
  <si>
    <t xml:space="preserve">Monitor publicado en septiembre de 2026; comprobar el corte de cada serie.</t>
  </si>
  <si>
    <t xml:space="preserve">https://www.observatorioseguridadsocial.org.uy/?b=0290270917702
https://www.observatorioseguridadsocial.org.uy/index.php/institucional</t>
  </si>
  <si>
    <t xml:space="preserve">seguridad-social; jubilaciones; mercado-laboral</t>
  </si>
  <si>
    <t xml:space="preserve">UY-053</t>
  </si>
  <si>
    <t xml:space="preserve">Observatorio de Trabajo de Montevideo</t>
  </si>
  <si>
    <t xml:space="preserve">Seguimiento de formación, empleo protegido e iniciativas de inclusión laboral.</t>
  </si>
  <si>
    <t xml:space="preserve">https://montevidata.montevideo.gub.uy/trabajo</t>
  </si>
  <si>
    <t xml:space="preserve">T21</t>
  </si>
  <si>
    <t xml:space="preserve">montevideo; empleo; capacitación; inclusión</t>
  </si>
  <si>
    <t xml:space="preserve">UY-054</t>
  </si>
  <si>
    <t xml:space="preserve">Observatorio de Vejez, Envejecimiento y Seguridad Social — OVESS</t>
  </si>
  <si>
    <t xml:space="preserve">BPS</t>
  </si>
  <si>
    <t xml:space="preserve">Indicadores para analizar vejez, estructura poblacional y protección social.</t>
  </si>
  <si>
    <t xml:space="preserve">https://observatorio.bps.gub.uy/ovess/</t>
  </si>
  <si>
    <t xml:space="preserve">E04 · Personas mayores y envejecimiento</t>
  </si>
  <si>
    <t xml:space="preserve">Incluye proyecciones hasta 2070: ese horizonte no es un dato observado reciente.</t>
  </si>
  <si>
    <t xml:space="preserve">envejecimiento; demografía; personas-mayores; seguridad-social</t>
  </si>
  <si>
    <t xml:space="preserve">UY-055</t>
  </si>
  <si>
    <t xml:space="preserve">Observatorio de Violencia Basada en Género hacia las Mujeres</t>
  </si>
  <si>
    <t xml:space="preserve">MIDES / Inmujeres</t>
  </si>
  <si>
    <t xml:space="preserve">Estadísticas y documentos sobre violencia contra las mujeres y respuestas institucionales.</t>
  </si>
  <si>
    <t xml:space="preserve">https://www.gub.uy/ministerio-desarrollo-social/observatorio/violencia-genero</t>
  </si>
  <si>
    <t xml:space="preserve">T46 · Seguridad y delito</t>
  </si>
  <si>
    <t xml:space="preserve">T47</t>
  </si>
  <si>
    <t xml:space="preserve">Se localizó una publicación de abril de 2026; no se asigna ese año a todos los datos.</t>
  </si>
  <si>
    <t xml:space="preserve">https://www.gub.uy/ministerio-desarrollo-social/observatorio/violencia-genero
https://www.gub.uy/ministerio-desarrollo-social/sites/ministerio-desarrollo-social/files/documentos/publicaciones/Indicadores%20femicidios%20_%20OVBG%20abril%202026.pdf</t>
  </si>
  <si>
    <t xml:space="preserve">género; violencia; derechos; seguridad</t>
  </si>
  <si>
    <t xml:space="preserve">UY-056</t>
  </si>
  <si>
    <t xml:space="preserve">Observatorio del Derecho a la Alimentación — Derecho</t>
  </si>
  <si>
    <t xml:space="preserve">Udelar / Facultad de Derecho</t>
  </si>
  <si>
    <t xml:space="preserve">Observatorio de estudios</t>
  </si>
  <si>
    <t xml:space="preserve">Investigación y seguimiento del derecho a la alimentación y sus marcos institucionales.</t>
  </si>
  <si>
    <t xml:space="preserve">https://www.fder.edu.uy/oda</t>
  </si>
  <si>
    <t xml:space="preserve">T48</t>
  </si>
  <si>
    <t xml:space="preserve">Predominan estudios y documentos, no un tablero estadístico permanente.</t>
  </si>
  <si>
    <t xml:space="preserve">alimentación; derechos; políticas; investigación</t>
  </si>
  <si>
    <t xml:space="preserve">UY-057</t>
  </si>
  <si>
    <t xml:space="preserve">Observatorio del Derecho a la Alimentación — Nutrición</t>
  </si>
  <si>
    <t xml:space="preserve">Udelar / Escuela de Nutrición</t>
  </si>
  <si>
    <t xml:space="preserve">Estudios sobre alimentación adecuada y políticas alimentarias desde la perspectiva nutricional.</t>
  </si>
  <si>
    <t xml:space="preserve">https://www.nutricion.edu.uy/?page_id=6614</t>
  </si>
  <si>
    <t xml:space="preserve">Nodo académico diferenciado del de Facultad de Derecho.</t>
  </si>
  <si>
    <t xml:space="preserve">alimentación; nutrición; derechos; investigación</t>
  </si>
  <si>
    <t xml:space="preserve">UY-058</t>
  </si>
  <si>
    <t xml:space="preserve">Observatorio del Sistema de Salud — datos</t>
  </si>
  <si>
    <t xml:space="preserve">Observatorio del Sistema de Salud</t>
  </si>
  <si>
    <t xml:space="preserve">Recopilación y análisis de indicadores del sistema de salud.</t>
  </si>
  <si>
    <t xml:space="preserve">https://observatoriosalud.org.uy/seccion/datos</t>
  </si>
  <si>
    <t xml:space="preserve">Marzo 2026: afiliación; 2025: asistencia</t>
  </si>
  <si>
    <t xml:space="preserve">2026-06-09</t>
  </si>
  <si>
    <t xml:space="preserve">Fuente no estatal; responsable institucional específico pendiente de corroboración.</t>
  </si>
  <si>
    <t xml:space="preserve">salud; financiamiento; prestadores; afiliación</t>
  </si>
  <si>
    <t xml:space="preserve">UY-059</t>
  </si>
  <si>
    <t xml:space="preserve">Observatorio Nacional en Género y Salud Sexual y Reproductiva</t>
  </si>
  <si>
    <t xml:space="preserve">MYSU</t>
  </si>
  <si>
    <t xml:space="preserve">Investigaciones y monitoreo de servicios, derechos y políticas de salud sexual y reproductiva.</t>
  </si>
  <si>
    <t xml:space="preserve">https://www.mysu.org.uy/que-hacemos/observatorio/</t>
  </si>
  <si>
    <t xml:space="preserve">T23 · Salud sexual y reproductiva</t>
  </si>
  <si>
    <t xml:space="preserve">E01 · Género; E08 · Enfoque de derechos</t>
  </si>
  <si>
    <t xml:space="preserve">Predominan estudios e informes; no todas las salidas son datos descargables.</t>
  </si>
  <si>
    <t xml:space="preserve">género; salud-sexual; derechos; salud-reproductiva</t>
  </si>
  <si>
    <t xml:space="preserve">UY-060</t>
  </si>
  <si>
    <t xml:space="preserve">Observatorio Social</t>
  </si>
  <si>
    <t xml:space="preserve">MIDES</t>
  </si>
  <si>
    <t xml:space="preserve">Información sobre condiciones de vida, desigualdades y políticas sociales.</t>
  </si>
  <si>
    <t xml:space="preserve">https://www.gub.uy/ministerio-desarrollo-social/observatorio</t>
  </si>
  <si>
    <t xml:space="preserve">T18</t>
  </si>
  <si>
    <t xml:space="preserve">2023 en indicadores localizados</t>
  </si>
  <si>
    <t xml:space="preserve">2023 es un corte comprobado en indicadores, no una fecha global del portal.</t>
  </si>
  <si>
    <t xml:space="preserve">pobreza; desigualdad; hogares; políticas-sociales</t>
  </si>
  <si>
    <t xml:space="preserve">UY-061</t>
  </si>
  <si>
    <t xml:space="preserve">Observatorio Uruguayo de Drogas</t>
  </si>
  <si>
    <t xml:space="preserve">Junta Nacional de Drogas</t>
  </si>
  <si>
    <t xml:space="preserve">Encuestas, investigaciones y estadísticas sobre usos de drogas y sus consecuencias.</t>
  </si>
  <si>
    <t xml:space="preserve">https://www.gub.uy/junta-nacional-drogas/observatorio-uruguayo-de-drogas</t>
  </si>
  <si>
    <t xml:space="preserve">Períodos distintos por estudio.</t>
  </si>
  <si>
    <t xml:space="preserve">drogas; consumos; salud; políticas</t>
  </si>
  <si>
    <t xml:space="preserve">UY-062</t>
  </si>
  <si>
    <t xml:space="preserve">OBSERVEN — Observatorio sobre Vejez y Envejecimiento</t>
  </si>
  <si>
    <t xml:space="preserve">Udelar / Centro Interdisciplinario de Envejecimiento</t>
  </si>
  <si>
    <t xml:space="preserve">Información estadística, publicaciones e investigaciones sobre vejez y envejecimiento.</t>
  </si>
  <si>
    <t xml:space="preserve">https://observatorioenvejecimiento.psico.edu.uy/</t>
  </si>
  <si>
    <t xml:space="preserve">T16</t>
  </si>
  <si>
    <t xml:space="preserve">E04 · Personas mayores y envejecimiento; E08 · Enfoque de derechos</t>
  </si>
  <si>
    <t xml:space="preserve">Parte del contenido corresponde a estudios históricos; último corte estadístico no comprobado.</t>
  </si>
  <si>
    <t xml:space="preserve">envejecimiento; personas-mayores; demografía; derechos</t>
  </si>
  <si>
    <t xml:space="preserve">UY-063</t>
  </si>
  <si>
    <t xml:space="preserve">ODISMET Uruguay — banco de datos</t>
  </si>
  <si>
    <t xml:space="preserve">ODISMET</t>
  </si>
  <si>
    <t xml:space="preserve">Indicadores sociodemográficos y laborales vinculados a discapacidad en Uruguay.</t>
  </si>
  <si>
    <t xml:space="preserve">https://www.odismet.org/uruguay/banco-de-datos/datos-sociodemograficos</t>
  </si>
  <si>
    <t xml:space="preserve">E05 · Discapacidad</t>
  </si>
  <si>
    <t xml:space="preserve">2023: censo</t>
  </si>
  <si>
    <t xml:space="preserve">Portal internacional con sección Uruguay; las definiciones de discapacidad requieren atención al comparar fuentes.</t>
  </si>
  <si>
    <t xml:space="preserve">discapacidad; empleo; inclusión; demografía</t>
  </si>
  <si>
    <t xml:space="preserve">UY-064</t>
  </si>
  <si>
    <t xml:space="preserve">SINADI — indicadores de desempeño asistencial</t>
  </si>
  <si>
    <t xml:space="preserve">Indicadores de actividad y desempeño de instituciones del sistema de salud.</t>
  </si>
  <si>
    <t xml:space="preserve">https://www.gub.uy/ministerio-salud-publica/tematica/indicadores-desempeno-asistencial</t>
  </si>
  <si>
    <t xml:space="preserve">Informes publicados en 2026 con datos de 2025.</t>
  </si>
  <si>
    <t xml:space="preserve">salud; prestadores; asistencia; gestión</t>
  </si>
  <si>
    <t xml:space="preserve">UY-065</t>
  </si>
  <si>
    <t xml:space="preserve">Sistema de Información de Género — SIG</t>
  </si>
  <si>
    <t xml:space="preserve">Indicadores y publicaciones para estudiar brechas y desigualdades entre mujeres y varones.</t>
  </si>
  <si>
    <t xml:space="preserve">https://www.gub.uy/ministerio-desarrollo-social/sig</t>
  </si>
  <si>
    <t xml:space="preserve">T14; T19</t>
  </si>
  <si>
    <t xml:space="preserve">Último período no comprobado.</t>
  </si>
  <si>
    <t xml:space="preserve">género; autonomía; trabajo; desigualdad</t>
  </si>
  <si>
    <t xml:space="preserve">UY-066</t>
  </si>
  <si>
    <t xml:space="preserve">Balance Energético Nacional — BEN</t>
  </si>
  <si>
    <t xml:space="preserve">MIEM / Dirección Nacional de Energía</t>
  </si>
  <si>
    <t xml:space="preserve">Balance de oferta, transformación y consumo energético por fuentes y sectores.</t>
  </si>
  <si>
    <t xml:space="preserve">https://www.gub.uy/ministerio-industria-energia-mineria/ben</t>
  </si>
  <si>
    <t xml:space="preserve">T34 · Energía</t>
  </si>
  <si>
    <t xml:space="preserve">T35</t>
  </si>
  <si>
    <t xml:space="preserve">2026-07-31</t>
  </si>
  <si>
    <t xml:space="preserve">Fecha de la noticia oficial sobre el BEN 2025, presentado el 30/07/2026.</t>
  </si>
  <si>
    <t xml:space="preserve">https://www.gub.uy/ministerio-industria-energia-mineria/ben
https://www.gub.uy/ministerio-industria-energia-mineria/comunicacion/noticias/consumo-electricidad-transporte-supero-primera-vez-del-conjunto-industrias</t>
  </si>
  <si>
    <t xml:space="preserve">Ambiental y energía</t>
  </si>
  <si>
    <t xml:space="preserve">energía; consumo; oferta; renovables; emisiones</t>
  </si>
  <si>
    <t xml:space="preserve">UY-067</t>
  </si>
  <si>
    <t xml:space="preserve">Datos abiertos de energía y agua</t>
  </si>
  <si>
    <t xml:space="preserve">URSEA</t>
  </si>
  <si>
    <t xml:space="preserve">Repositorio de datos</t>
  </si>
  <si>
    <t xml:space="preserve">Conjuntos de datos sobre servicios regulados y precios de referencia de combustibles.</t>
  </si>
  <si>
    <t xml:space="preserve">https://www.gub.uy/unidad-reguladora-servicios-energia-agua/datos-y-estadisticas/datos-abiertos</t>
  </si>
  <si>
    <t xml:space="preserve">T33</t>
  </si>
  <si>
    <t xml:space="preserve">Actualización independiente por conjunto.</t>
  </si>
  <si>
    <t xml:space="preserve">energía; agua; combustibles; tarifas; regulación</t>
  </si>
  <si>
    <t xml:space="preserve">UY-068</t>
  </si>
  <si>
    <t xml:space="preserve">Datos abiertos hidrológicos</t>
  </si>
  <si>
    <t xml:space="preserve">Ministerio de Ambiente / DINAGUA</t>
  </si>
  <si>
    <t xml:space="preserve">Nacional y cuencas</t>
  </si>
  <si>
    <t xml:space="preserve">Descarga de series y publicaciones hidrológicas para reutilización.</t>
  </si>
  <si>
    <t xml:space="preserve">https://www.ambiente.gub.uy/informacion_hidrica/datos_abiertos.php</t>
  </si>
  <si>
    <t xml:space="preserve">T33 · Agua y recursos hídricos</t>
  </si>
  <si>
    <t xml:space="preserve">2020–2021 en anuario localizado</t>
  </si>
  <si>
    <t xml:space="preserve">DINAGUA</t>
  </si>
  <si>
    <t xml:space="preserve">No se verificó que ese anuario represente el último dato de todas las series.</t>
  </si>
  <si>
    <t xml:space="preserve">agua; estaciones; series-históricas; datos-abiertos</t>
  </si>
  <si>
    <t xml:space="preserve">UY-069</t>
  </si>
  <si>
    <t xml:space="preserve">Geoportal OAN</t>
  </si>
  <si>
    <t xml:space="preserve">Ministerio de Ambiente</t>
  </si>
  <si>
    <t xml:space="preserve">Cartografía y capas de información ambiental para visualización territorial.</t>
  </si>
  <si>
    <t xml:space="preserve">https://www.ambiente.gub.uy/oan/geoportal/</t>
  </si>
  <si>
    <t xml:space="preserve">T32 · Ambiente y biodiversidad</t>
  </si>
  <si>
    <t xml:space="preserve">T41</t>
  </si>
  <si>
    <t xml:space="preserve">Observatorio Ambiental Nacional — OAN</t>
  </si>
  <si>
    <t xml:space="preserve">Vigencia según capa.</t>
  </si>
  <si>
    <t xml:space="preserve">ambiente; geodatos; territorio; ecosistemas</t>
  </si>
  <si>
    <t xml:space="preserve">UY-070</t>
  </si>
  <si>
    <t xml:space="preserve">GRAS — clima y estaciones</t>
  </si>
  <si>
    <t xml:space="preserve">INIA</t>
  </si>
  <si>
    <t xml:space="preserve">Portal de datos</t>
  </si>
  <si>
    <t xml:space="preserve">Información meteorológica y agroclimática de estaciones y otros productos de apoyo al agro.</t>
  </si>
  <si>
    <t xml:space="preserve">https://www.inia.uy/gras/Clima</t>
  </si>
  <si>
    <t xml:space="preserve">T35 · Clima, meteorología y cambio climático</t>
  </si>
  <si>
    <t xml:space="preserve">T04</t>
  </si>
  <si>
    <t xml:space="preserve">Frecuencia distinta según producto.</t>
  </si>
  <si>
    <t xml:space="preserve">https://www.inia.uy/gras/Clima
https://inia.uy/gras/Clima/Estaciones-on-line</t>
  </si>
  <si>
    <t xml:space="preserve">clima; agro; estaciones; precipitación</t>
  </si>
  <si>
    <t xml:space="preserve">UY-071</t>
  </si>
  <si>
    <t xml:space="preserve">GRAS — monitoreo ambiental</t>
  </si>
  <si>
    <t xml:space="preserve">Seguimiento de vegetación, balance hídrico y condiciones ambientales relevantes para la producción.</t>
  </si>
  <si>
    <t xml:space="preserve">https://www.inia.uy/gras/Monitoreo-Ambiental</t>
  </si>
  <si>
    <t xml:space="preserve">T04; T33</t>
  </si>
  <si>
    <t xml:space="preserve">Último corte no comprobado.</t>
  </si>
  <si>
    <t xml:space="preserve">agro; sequía; vegetación; balance-hídrico</t>
  </si>
  <si>
    <t xml:space="preserve">UY-072</t>
  </si>
  <si>
    <t xml:space="preserve">Indicadores ambientales OAN</t>
  </si>
  <si>
    <t xml:space="preserve">Indicadores temáticos del estado del ambiente y de las presiones sobre los ecosistemas.</t>
  </si>
  <si>
    <t xml:space="preserve">https://www.ambiente.gub.uy/oan/indicadores/</t>
  </si>
  <si>
    <t xml:space="preserve">El año depende de cada indicador.</t>
  </si>
  <si>
    <t xml:space="preserve">ambiente; indicadores; ecosistemas; presiones</t>
  </si>
  <si>
    <t xml:space="preserve">UY-073</t>
  </si>
  <si>
    <t xml:space="preserve">Información meteorológica y climática</t>
  </si>
  <si>
    <t xml:space="preserve">INUMET</t>
  </si>
  <si>
    <t xml:space="preserve">Observaciones, boletines y productos meteorológicos y climáticos del territorio nacional.</t>
  </si>
  <si>
    <t xml:space="preserve">https://www.inumet.gub.uy/</t>
  </si>
  <si>
    <t xml:space="preserve">2 de octubre de 2026: observaciones</t>
  </si>
  <si>
    <t xml:space="preserve">La fecha de observación no se aplica a todas las series históricas.</t>
  </si>
  <si>
    <t xml:space="preserve">meteorología; clima; precipitación; temperatura</t>
  </si>
  <si>
    <t xml:space="preserve">UY-074</t>
  </si>
  <si>
    <t xml:space="preserve">Información operativa del mercado eléctrico</t>
  </si>
  <si>
    <t xml:space="preserve">ADME</t>
  </si>
  <si>
    <t xml:space="preserve">Indicadores operativos, generación por fuente, demanda y datos del mercado eléctrico.</t>
  </si>
  <si>
    <t xml:space="preserve">https://adme.uy/controlpanel.php</t>
  </si>
  <si>
    <t xml:space="preserve">Panel con actualización operativa; último sello temporal no comprobado.</t>
  </si>
  <si>
    <t xml:space="preserve">https://adme.uy/controlpanel.php
https://www.adme.com.uy/datosabiertos.html</t>
  </si>
  <si>
    <t xml:space="preserve">electricidad; generación; demanda; mercado-eléctrico</t>
  </si>
  <si>
    <t xml:space="preserve">UY-075</t>
  </si>
  <si>
    <t xml:space="preserve">MapBiomas Uruguay</t>
  </si>
  <si>
    <t xml:space="preserve">Red MapBiomas Uruguay</t>
  </si>
  <si>
    <t xml:space="preserve">Series cartográficas anuales de cobertura y uso del suelo con consulta y descarga.</t>
  </si>
  <si>
    <t xml:space="preserve">https://uruguay.mapbiomas.org/</t>
  </si>
  <si>
    <t xml:space="preserve">1985–2024</t>
  </si>
  <si>
    <t xml:space="preserve">Colección verificada hasta 2024; colaboración académica y de sociedad civil.</t>
  </si>
  <si>
    <t xml:space="preserve">https://uruguay.mapbiomas.org/
https://uruguay.mapbiomas.org/colecciones-mapbiomas/</t>
  </si>
  <si>
    <t xml:space="preserve">cobertura-suelo; uso-suelo; ecosistemas; teledetección</t>
  </si>
  <si>
    <t xml:space="preserve">UY-076</t>
  </si>
  <si>
    <t xml:space="preserve">Monitor Integral de Riesgos y Afectaciones — MIRA</t>
  </si>
  <si>
    <t xml:space="preserve">Sistema Nacional de Emergencias</t>
  </si>
  <si>
    <t xml:space="preserve">Sistema de información para registrar y analizar eventos adversos y sus impactos.</t>
  </si>
  <si>
    <t xml:space="preserve">https://www.gub.uy/sistema-nacional-emergencias/politicas-y-gestion/monitor-integral-riesgos-afectaciones</t>
  </si>
  <si>
    <t xml:space="preserve">T38 · Riesgos y emergencias</t>
  </si>
  <si>
    <t xml:space="preserve">2026-07-09</t>
  </si>
  <si>
    <t xml:space="preserve">Ficha pública; acceso a todos los componentes y bases no confirmado.</t>
  </si>
  <si>
    <t xml:space="preserve">riesgos; emergencias; afectaciones; territorio</t>
  </si>
  <si>
    <t xml:space="preserve">UY-077</t>
  </si>
  <si>
    <t xml:space="preserve">Observatorio Ambiental de Montevideo</t>
  </si>
  <si>
    <t xml:space="preserve">Información sobre calidad ambiental, residuos, saneamiento y gestión de ecosistemas urbanos.</t>
  </si>
  <si>
    <t xml:space="preserve">https://montevidata.montevideo.gub.uy/ambiental</t>
  </si>
  <si>
    <t xml:space="preserve">T33; T36</t>
  </si>
  <si>
    <t xml:space="preserve">montevideo; ambiente; agua; aire; residuos</t>
  </si>
  <si>
    <t xml:space="preserve">UY-078</t>
  </si>
  <si>
    <t xml:space="preserve">Información pública ambiental, reportes, indicadores y recursos geográficos.</t>
  </si>
  <si>
    <t xml:space="preserve">https://www.ambiente.gub.uy/oan/</t>
  </si>
  <si>
    <t xml:space="preserve">T33; T36; T35</t>
  </si>
  <si>
    <t xml:space="preserve">Acceso confirmado por ficha oficial; no se auditó cada tablero dinámico.</t>
  </si>
  <si>
    <t xml:space="preserve">https://www.gub.uy/ministerio-ambiente/tramites-y-servicios/servicios/observatorio-ambiental-nacional</t>
  </si>
  <si>
    <t xml:space="preserve">ambiente; agua; aire; biodiversidad; residuos</t>
  </si>
  <si>
    <t xml:space="preserve">UY-079</t>
  </si>
  <si>
    <t xml:space="preserve">Observatorio de Energía y Desarrollo Sustentable</t>
  </si>
  <si>
    <t xml:space="preserve">Estudios y análisis sobre energía, transición y desarrollo sustentable.</t>
  </si>
  <si>
    <t xml:space="preserve">https://www.ucu.edu.uy/Institucionales/Observatorio-de-Energia-y-Desarrollo-Sustentable-uc839</t>
  </si>
  <si>
    <t xml:space="preserve">Se incluye como observatorio académico; disponibilidad de una base numérica permanente no confirmada.</t>
  </si>
  <si>
    <t xml:space="preserve">energía; sostenibilidad; transición; investigación</t>
  </si>
  <si>
    <t xml:space="preserve">UY-080</t>
  </si>
  <si>
    <t xml:space="preserve">Observatorio de Reciclaje del Uruguay</t>
  </si>
  <si>
    <t xml:space="preserve">CEMPRE Uruguay</t>
  </si>
  <si>
    <t xml:space="preserve">Datos y análisis sobre reciclaje, materiales y gestión de residuos.</t>
  </si>
  <si>
    <t xml:space="preserve">https://cempre.org.uy/observatorio-de-reciclaje-del-uruguay-cempre/</t>
  </si>
  <si>
    <t xml:space="preserve">T36 · Residuos y economía circular</t>
  </si>
  <si>
    <t xml:space="preserve">Último año de datos no comprobado.</t>
  </si>
  <si>
    <t xml:space="preserve">reciclaje; residuos; economía-circular</t>
  </si>
  <si>
    <t xml:space="preserve">UY-081</t>
  </si>
  <si>
    <t xml:space="preserve">Observatorio Hidrológico Nacional</t>
  </si>
  <si>
    <t xml:space="preserve">Seguimiento de situación hidrológica, estaciones, niveles y recursos hídricos.</t>
  </si>
  <si>
    <t xml:space="preserve">https://www.gub.uy/ministerio-ambiente/tramites-y-servicios/servicios/observatorio-hidrologico-nacional</t>
  </si>
  <si>
    <t xml:space="preserve">T38</t>
  </si>
  <si>
    <t xml:space="preserve">Enlace a la ficha oficial con acceso al observatorio.</t>
  </si>
  <si>
    <t xml:space="preserve">agua; hidrología; sequía; inundaciones</t>
  </si>
  <si>
    <t xml:space="preserve">UY-082</t>
  </si>
  <si>
    <t xml:space="preserve">SIGRAS</t>
  </si>
  <si>
    <t xml:space="preserve">Visualización y consulta geográfica de información agroambiental.</t>
  </si>
  <si>
    <t xml:space="preserve">https://inia.uy/gras-sigras-web</t>
  </si>
  <si>
    <t xml:space="preserve">Complementa los productos de GRAS; fechas por capa.</t>
  </si>
  <si>
    <t xml:space="preserve">agro; geodatos; suelos; clima</t>
  </si>
  <si>
    <t xml:space="preserve">UY-083</t>
  </si>
  <si>
    <t xml:space="preserve">Visualizador de avances de la contribución climática nacional</t>
  </si>
  <si>
    <t xml:space="preserve">Ministerio de Ambiente / SNRCC</t>
  </si>
  <si>
    <t xml:space="preserve">Seguimiento de medidas y objetivos de la contribución nacional al Acuerdo de París.</t>
  </si>
  <si>
    <t xml:space="preserve">https://catalogodatos.gub.uy/showcase/visualizador-de-objetivos-y-medidas-de-mitigacion-y-adaptacion-ante-el-cambio-climatico</t>
  </si>
  <si>
    <t xml:space="preserve">Entrada mediante ficha del Catálogo Nacional de Datos Abiertos.</t>
  </si>
  <si>
    <t xml:space="preserve">cambio-climático; emisiones; ndc; compromisos</t>
  </si>
  <si>
    <t xml:space="preserve">UY-084</t>
  </si>
  <si>
    <t xml:space="preserve">Visualizador de cambio climático</t>
  </si>
  <si>
    <t xml:space="preserve">Capas espaciales vinculadas a impactos, vulnerabilidad y respuesta frente al cambio climático.</t>
  </si>
  <si>
    <t xml:space="preserve">https://www.ambiente.gub.uy/visualizador/index.php?vis=cambio-climatico</t>
  </si>
  <si>
    <t xml:space="preserve">T38; T41</t>
  </si>
  <si>
    <t xml:space="preserve">Período variable según capa.</t>
  </si>
  <si>
    <t xml:space="preserve">cambio-climático; adaptación; riesgo; geodatos</t>
  </si>
  <si>
    <t xml:space="preserve">UY-085</t>
  </si>
  <si>
    <t xml:space="preserve">Visualizador de gráficos y series BEN</t>
  </si>
  <si>
    <t xml:space="preserve">MIEM / DNE</t>
  </si>
  <si>
    <t xml:space="preserve">Consulta y exportación de gráficos y series históricas del balance energético.</t>
  </si>
  <si>
    <t xml:space="preserve">https://visualizadorben.miem.gub.uy/visualizador/api/repos/%3Apublic%3Aorganismos%3Amiem%3Amiem_ben.wcdf/generatedContent</t>
  </si>
  <si>
    <t xml:space="preserve">Verificar el año seleccionado; no se auditó la actualización de cada gráfico.</t>
  </si>
  <si>
    <t xml:space="preserve">energía; series-históricas; consumo; oferta</t>
  </si>
  <si>
    <t xml:space="preserve">UY-086</t>
  </si>
  <si>
    <t xml:space="preserve">Visualizador Estratégico de Residuos — VER</t>
  </si>
  <si>
    <t xml:space="preserve">Herramienta territorial para analizar información y oportunidades de gestión de residuos.</t>
  </si>
  <si>
    <t xml:space="preserve">https://cempre.org.uy/v-e-r-visualizador-estrategico-de-residuos-3/</t>
  </si>
  <si>
    <t xml:space="preserve">CEMPRE</t>
  </si>
  <si>
    <t xml:space="preserve">Acceso mediante página institucional de presentación.</t>
  </si>
  <si>
    <t xml:space="preserve">residuos; geodatos; reciclaje; economía-circular</t>
  </si>
  <si>
    <t xml:space="preserve">UY-087</t>
  </si>
  <si>
    <t xml:space="preserve">Visualizadores de información hídrica</t>
  </si>
  <si>
    <t xml:space="preserve">Mapas y consultas de información hídrica, aprovechamientos y áreas expuestas a inundaciones.</t>
  </si>
  <si>
    <t xml:space="preserve">https://www.ambiente.gub.uy/informacion_hidrica/</t>
  </si>
  <si>
    <t xml:space="preserve">Herramientas de DINAGUA; pueden compartir datos con el observatorio.</t>
  </si>
  <si>
    <t xml:space="preserve">agua; usos; inundaciones; geodatos</t>
  </si>
  <si>
    <t xml:space="preserve">UY-088</t>
  </si>
  <si>
    <t xml:space="preserve">VisualPEB — matriz energética</t>
  </si>
  <si>
    <t xml:space="preserve">Representación y consulta de las relaciones entre fuentes y usos de energía.</t>
  </si>
  <si>
    <t xml:space="preserve">https://visualpeb.miem.gub.uy/visualPEB/ben</t>
  </si>
  <si>
    <t xml:space="preserve">Comparte el sistema de información del BEN.</t>
  </si>
  <si>
    <t xml:space="preserve">energía; balance; flujos; matriz</t>
  </si>
  <si>
    <t xml:space="preserve">UY-089</t>
  </si>
  <si>
    <t xml:space="preserve">Buscador de indicadores OTU</t>
  </si>
  <si>
    <t xml:space="preserve">OPP</t>
  </si>
  <si>
    <t xml:space="preserve">Nacional y subnacional</t>
  </si>
  <si>
    <t xml:space="preserve">Búsqueda de indicadores para comparar condiciones de los territorios.</t>
  </si>
  <si>
    <t xml:space="preserve">https://otu.opp.gub.uy/filtros/buscar_indicadores</t>
  </si>
  <si>
    <t xml:space="preserve">T39 · Territorio, ordenamiento y desarrollo local</t>
  </si>
  <si>
    <t xml:space="preserve">Observatorio Territorio Uruguay — OTU</t>
  </si>
  <si>
    <t xml:space="preserve">Vigencia por indicador; no se verificó un último corte global.</t>
  </si>
  <si>
    <t xml:space="preserve">https://otu.opp.gub.uy/</t>
  </si>
  <si>
    <t xml:space="preserve">Territorial</t>
  </si>
  <si>
    <t xml:space="preserve">territorio; indicadores; departamentos; municipios</t>
  </si>
  <si>
    <t xml:space="preserve">UY-090</t>
  </si>
  <si>
    <t xml:space="preserve">Geoportal MTOP</t>
  </si>
  <si>
    <t xml:space="preserve">Ministerio de Transporte y Obras Públicas</t>
  </si>
  <si>
    <t xml:space="preserve">Información geográfica sobre infraestructura y redes de transporte.</t>
  </si>
  <si>
    <t xml:space="preserve">https://geoportal.mtop.gub.uy/</t>
  </si>
  <si>
    <t xml:space="preserve">Vigencia por capa.</t>
  </si>
  <si>
    <t xml:space="preserve">infraestructura; transporte; rutas; geodatos</t>
  </si>
  <si>
    <t xml:space="preserve">UY-091</t>
  </si>
  <si>
    <t xml:space="preserve">Geoportal y servicios cartográficos IGM</t>
  </si>
  <si>
    <t xml:space="preserve">Instituto Geográfico Militar</t>
  </si>
  <si>
    <t xml:space="preserve">Servicios cartográficos y recursos para consultar información geográfica de base.</t>
  </si>
  <si>
    <t xml:space="preserve">https://igm.gub.uy/geoportal/listado-servicios/</t>
  </si>
  <si>
    <t xml:space="preserve">T41 · Información geográfica, cartografía y catastro</t>
  </si>
  <si>
    <t xml:space="preserve">Vigencia y escala dependen del producto.</t>
  </si>
  <si>
    <t xml:space="preserve">cartografía; geodesia; geodatos; topografía</t>
  </si>
  <si>
    <t xml:space="preserve">UY-092</t>
  </si>
  <si>
    <t xml:space="preserve">GIS Rivera</t>
  </si>
  <si>
    <t xml:space="preserve">Visor de información geográfica y capas territoriales del departamento.</t>
  </si>
  <si>
    <t xml:space="preserve">https://gis.rivera.gub.uy/</t>
  </si>
  <si>
    <t xml:space="preserve">T39</t>
  </si>
  <si>
    <t xml:space="preserve">rivera; geodatos; territorio; infraestructura</t>
  </si>
  <si>
    <t xml:space="preserve">UY-093</t>
  </si>
  <si>
    <t xml:space="preserve">Inventario Nacional de Ordenamiento Territorial — INOT</t>
  </si>
  <si>
    <t xml:space="preserve">MVOT / DINOT</t>
  </si>
  <si>
    <t xml:space="preserve">Consulta territorial de instrumentos y normativa de ordenamiento.</t>
  </si>
  <si>
    <t xml:space="preserve">https://geoportal.mvot.gub.uy/sitio/portal/inot</t>
  </si>
  <si>
    <t xml:space="preserve">La vigencia corresponde a cada instrumento.</t>
  </si>
  <si>
    <t xml:space="preserve">ordenamiento-territorial; normativa; instrumentos</t>
  </si>
  <si>
    <t xml:space="preserve">UY-094</t>
  </si>
  <si>
    <t xml:space="preserve">Mirador OTU</t>
  </si>
  <si>
    <t xml:space="preserve">Herramienta del OTU para explorar información y actuaciones en el territorio.</t>
  </si>
  <si>
    <t xml:space="preserve">https://otu.opp.gub.uy/mirador</t>
  </si>
  <si>
    <t xml:space="preserve">T02</t>
  </si>
  <si>
    <t xml:space="preserve">URL aportada y contrastada con la estructura institucional; carga no confirmada.</t>
  </si>
  <si>
    <t xml:space="preserve">https://opp.gub.uy/es/observatorio-territorio-uruguay</t>
  </si>
  <si>
    <t xml:space="preserve">territorio; inversión; proyectos; desarrollo-local</t>
  </si>
  <si>
    <t xml:space="preserve">UY-095</t>
  </si>
  <si>
    <t xml:space="preserve">Portal integrador de observatorios y visualizaciones municipales de distintas áreas.</t>
  </si>
  <si>
    <t xml:space="preserve">https://montevidata.montevideo.gub.uy/</t>
  </si>
  <si>
    <t xml:space="preserve">T44 · Gobierno abierto y datos abiertos</t>
  </si>
  <si>
    <t xml:space="preserve">Los módulos temáticos siguientes se identifican por separado, sin contarlos como nuevos portales matriz.</t>
  </si>
  <si>
    <t xml:space="preserve">montevideo; indicadores; gestión; datos-abiertos</t>
  </si>
  <si>
    <t xml:space="preserve">UY-096</t>
  </si>
  <si>
    <t xml:space="preserve">Observatorio de Asentamientos de Montevideo</t>
  </si>
  <si>
    <t xml:space="preserve">Seguimiento territorial de asentamientos e intervenciones municipales.</t>
  </si>
  <si>
    <t xml:space="preserve">https://montevidata.montevideo.gub.uy/territorial/asentamientos</t>
  </si>
  <si>
    <t xml:space="preserve">T40 · Vivienda, hábitat y asentamientos</t>
  </si>
  <si>
    <t xml:space="preserve">2026-06-26</t>
  </si>
  <si>
    <t xml:space="preserve">Fecha de actualización del conjunto de intervenciones; no necesariamente de todas las capas.</t>
  </si>
  <si>
    <t xml:space="preserve">https://ckan.montevideo.gub.uy/dataset/asentamientos-en-montevideo
https://catalogodatos.gub.uy/dataset/principales-intervenciones-en-asentamientos-en-montevideo</t>
  </si>
  <si>
    <t xml:space="preserve">montevideo; asentamientos; vivienda; hábitat</t>
  </si>
  <si>
    <t xml:space="preserve">UY-097</t>
  </si>
  <si>
    <t xml:space="preserve">Observatorio de Movilidad de Montevideo</t>
  </si>
  <si>
    <t xml:space="preserve">Datos de transporte público, movilidad activa, tránsito e infraestructura.</t>
  </si>
  <si>
    <t xml:space="preserve">https://montevidata.montevideo.gub.uy/movilidad</t>
  </si>
  <si>
    <t xml:space="preserve">T42 · Movilidad urbana y seguridad vial</t>
  </si>
  <si>
    <t xml:space="preserve">montevideo; movilidad; transporte; tránsito</t>
  </si>
  <si>
    <t xml:space="preserve">UY-098</t>
  </si>
  <si>
    <t xml:space="preserve">Observatorio ODS de Montevideo</t>
  </si>
  <si>
    <t xml:space="preserve">Indicadores departamentales para seguir objetivos y metas de desarrollo sostenible.</t>
  </si>
  <si>
    <t xml:space="preserve">https://montevidata.montevideo.gub.uy/objetivos-de-desarrollo-sostenible</t>
  </si>
  <si>
    <t xml:space="preserve">T49 · Estadística oficial y seguimiento ODS</t>
  </si>
  <si>
    <t xml:space="preserve">2030 es horizonte de metas, no el último año observado.</t>
  </si>
  <si>
    <t xml:space="preserve">montevideo; ods; sostenibilidad; indicadores</t>
  </si>
  <si>
    <t xml:space="preserve">UY-099</t>
  </si>
  <si>
    <t xml:space="preserve">Observatorio Territorial de Montevideo</t>
  </si>
  <si>
    <t xml:space="preserve">Indicadores de vivienda, hogares, hábitat y dinámicas del territorio departamental.</t>
  </si>
  <si>
    <t xml:space="preserve">https://montevidata.montevideo.gub.uy/territorial</t>
  </si>
  <si>
    <t xml:space="preserve">T40</t>
  </si>
  <si>
    <t xml:space="preserve">2025: vivienda y hogares</t>
  </si>
  <si>
    <t xml:space="preserve">Período comprobado en el módulo de vivienda y hogares.</t>
  </si>
  <si>
    <t xml:space="preserve">https://montevidata.montevideo.gub.uy/territorial
https://montevidata.montevideo.gub.uy/territorial/vivienda-y-hogares</t>
  </si>
  <si>
    <t xml:space="preserve">montevideo; territorio; vivienda; hogares</t>
  </si>
  <si>
    <t xml:space="preserve">UY-100</t>
  </si>
  <si>
    <t xml:space="preserve">Observatorio Territorial DINOT</t>
  </si>
  <si>
    <t xml:space="preserve">Indicadores territoriales para observar población, urbanización y condiciones del hábitat.</t>
  </si>
  <si>
    <t xml:space="preserve">https://sit.mvot.gub.uy/observatorio/indicadores</t>
  </si>
  <si>
    <t xml:space="preserve">T40; T25</t>
  </si>
  <si>
    <t xml:space="preserve">Pertenece al ecosistema de información territorial del MVOT.</t>
  </si>
  <si>
    <t xml:space="preserve">https://sit.mvot.gub.uy/observatorio/indicadores
https://www.gub.uy/ministerio-vivienda-ordenamiento-territorial/tramites-y-servicios/servicios/observatorio-territorial</t>
  </si>
  <si>
    <t xml:space="preserve">territorio; indicadores; vivienda; población</t>
  </si>
  <si>
    <t xml:space="preserve">UY-101</t>
  </si>
  <si>
    <t xml:space="preserve">Nacional, departamentos y municipios</t>
  </si>
  <si>
    <t xml:space="preserve">Indicadores territoriales, perfiles, finanzas y proyectos de gobiernos subnacionales.</t>
  </si>
  <si>
    <t xml:space="preserve">Portal matriz; los dos recursos siguientes son módulos, no portales independientes.</t>
  </si>
  <si>
    <t xml:space="preserve">territorio; desarrollo-local; indicadores; finanzas-subnacionales</t>
  </si>
  <si>
    <t xml:space="preserve">UY-102</t>
  </si>
  <si>
    <t xml:space="preserve">Sistema de Información Geográfica de Maldonado</t>
  </si>
  <si>
    <t xml:space="preserve">Intendencia de Maldonado</t>
  </si>
  <si>
    <t xml:space="preserve">Maldonado</t>
  </si>
  <si>
    <t xml:space="preserve">Consulta de recursos cartográficos e información geográfica departamental.</t>
  </si>
  <si>
    <t xml:space="preserve">https://maldonado.gub.uy/sistema-informacion-geografica</t>
  </si>
  <si>
    <t xml:space="preserve">Entrada institucional al sistema.</t>
  </si>
  <si>
    <t xml:space="preserve">maldonado; geodatos; urbanismo; territorio</t>
  </si>
  <si>
    <t xml:space="preserve">UY-103</t>
  </si>
  <si>
    <t xml:space="preserve">Sistema de Información Geográfica de Montevideo</t>
  </si>
  <si>
    <t xml:space="preserve">Cartografía, servicios y recursos geográficos departamentales.</t>
  </si>
  <si>
    <t xml:space="preserve">https://sig.montevideo.gub.uy/</t>
  </si>
  <si>
    <t xml:space="preserve">Enlace confirmado en el directorio oficial de nodos IDE.</t>
  </si>
  <si>
    <t xml:space="preserve">montevideo; geodatos; cartografía; urbanismo</t>
  </si>
  <si>
    <t xml:space="preserve">UY-104</t>
  </si>
  <si>
    <t xml:space="preserve">Sistema de Información Territorial — SIT</t>
  </si>
  <si>
    <t xml:space="preserve">Información espacial para planificación, diagnóstico y ordenamiento territorial.</t>
  </si>
  <si>
    <t xml:space="preserve">https://geoportal.mvot.gub.uy/sitio/portal/sit</t>
  </si>
  <si>
    <t xml:space="preserve">Fechas diferentes por capa.</t>
  </si>
  <si>
    <t xml:space="preserve">ordenamiento-territorial; geodatos; urbanismo</t>
  </si>
  <si>
    <t xml:space="preserve">UY-105</t>
  </si>
  <si>
    <t xml:space="preserve">Sistema de Información Territorial de Canelones</t>
  </si>
  <si>
    <t xml:space="preserve">Intendencia de Canelones</t>
  </si>
  <si>
    <t xml:space="preserve">Canelones</t>
  </si>
  <si>
    <t xml:space="preserve">Acceso a herramientas e información territorial del departamento.</t>
  </si>
  <si>
    <t xml:space="preserve">https://www.imcanelones.gub.uy/conozca/departamento/sistema-de-informacion-territorial</t>
  </si>
  <si>
    <t xml:space="preserve">Se incluye la entrada institucional para evitar enlaces internos cambiantes.</t>
  </si>
  <si>
    <t xml:space="preserve">canelones; ordenamiento; catastro; geodatos</t>
  </si>
  <si>
    <t xml:space="preserve">UY-106</t>
  </si>
  <si>
    <t xml:space="preserve">Visor de la Dirección Nacional de Catastro</t>
  </si>
  <si>
    <t xml:space="preserve">MEF / Dirección Nacional de Catastro</t>
  </si>
  <si>
    <t xml:space="preserve">Consulta cartográfica de información catastral y padrones.</t>
  </si>
  <si>
    <t xml:space="preserve">https://visor.catastro.gub.uy/VisorDNC</t>
  </si>
  <si>
    <t xml:space="preserve">Enlace confirmado en IDE; carga del visor no confirmada durante el relevamiento.</t>
  </si>
  <si>
    <t xml:space="preserve">catastro; padrones; inmuebles; geodatos</t>
  </si>
  <si>
    <t xml:space="preserve">UY-107</t>
  </si>
  <si>
    <t xml:space="preserve">Visualizador de espacios deportivos</t>
  </si>
  <si>
    <t xml:space="preserve">Secretaría Nacional del Deporte / IDE</t>
  </si>
  <si>
    <t xml:space="preserve">Mapa de plazas y espacios deportivos con capas descargables e información básica.</t>
  </si>
  <si>
    <t xml:space="preserve">https://www.gub.uy/secretaria-nacional-deporte/comunicacion/noticias/concluyo-primera-etapa-georreferenciacion-espacios-deportivos-snd</t>
  </si>
  <si>
    <t xml:space="preserve">T31 · Deporte y actividad física</t>
  </si>
  <si>
    <t xml:space="preserve">Producto del Observatorio Nacional del Deporte; entrada institucional al visor.</t>
  </si>
  <si>
    <t xml:space="preserve">deporte; infraestructura; plazas; geodatos</t>
  </si>
  <si>
    <t xml:space="preserve">UY-108</t>
  </si>
  <si>
    <t xml:space="preserve">Visualizador Geominero</t>
  </si>
  <si>
    <t xml:space="preserve">MIEM / DINAMIGE</t>
  </si>
  <si>
    <t xml:space="preserve">Cartografía geológica y minera y consulta de información del subsuelo.</t>
  </si>
  <si>
    <t xml:space="preserve">https://visualizadorgeominero.dinamige.gub.uy/DINAMIGE_mvc2/</t>
  </si>
  <si>
    <t xml:space="preserve">Información productiva y territorial; fecha por capa.</t>
  </si>
  <si>
    <t xml:space="preserve">geología; minería; recursos; geodatos</t>
  </si>
  <si>
    <t xml:space="preserve">UY-109</t>
  </si>
  <si>
    <t xml:space="preserve">Visualizador IDE Uruguay</t>
  </si>
  <si>
    <t xml:space="preserve">IDE Uruguay</t>
  </si>
  <si>
    <t xml:space="preserve">Visor nacional que integra capas geográficas producidas por distintos organismos.</t>
  </si>
  <si>
    <t xml:space="preserve">https://visualizador.ide.uy/ideuy/core/load_public_project/ideuy/</t>
  </si>
  <si>
    <t xml:space="preserve">No existe una fecha única para todas las capas.</t>
  </si>
  <si>
    <t xml:space="preserve">geodatos; cartografía; infraestructura; territorio</t>
  </si>
  <si>
    <t xml:space="preserve">UY-110</t>
  </si>
  <si>
    <t xml:space="preserve">Estadísticas básicas universitarias</t>
  </si>
  <si>
    <t xml:space="preserve">Udelar / Planeamiento</t>
  </si>
  <si>
    <t xml:space="preserve">Estadísticas de estudiantes, egresados, personal y estructura universitaria.</t>
  </si>
  <si>
    <t xml:space="preserve">https://planeamiento.udelar.edu.uy/portal/publicaciones/estadisticas-basicas/</t>
  </si>
  <si>
    <t xml:space="preserve">2024</t>
  </si>
  <si>
    <t xml:space="preserve">2025-10-10</t>
  </si>
  <si>
    <t xml:space="preserve">Enlace institucional a la publicación y su serie.</t>
  </si>
  <si>
    <t xml:space="preserve">https://udelar.edu.uy/noticias/se-publicaron-las-estadisticas-basicas-2024-de-la-universidad-de-la-republica
https://planeamiento.udelar.edu.uy/portal/publicaciones/estadisticas-basicas/%20%C2%A0</t>
  </si>
  <si>
    <t xml:space="preserve">Educación</t>
  </si>
  <si>
    <t xml:space="preserve">universidad; estudiantes; docentes; egresos</t>
  </si>
  <si>
    <t xml:space="preserve">UY-111</t>
  </si>
  <si>
    <t xml:space="preserve">Estadísticas educativas</t>
  </si>
  <si>
    <t xml:space="preserve">MEC</t>
  </si>
  <si>
    <t xml:space="preserve">Compilación de anuarios e información del sistema educativo en todos sus niveles.</t>
  </si>
  <si>
    <t xml:space="preserve">https://www.gub.uy/ministerio-educacion-cultura/estadistica</t>
  </si>
  <si>
    <t xml:space="preserve">T27 · Educación inicial, primaria y media</t>
  </si>
  <si>
    <t xml:space="preserve">T28; T29</t>
  </si>
  <si>
    <t xml:space="preserve">educación; matrícula; egresos; gasto</t>
  </si>
  <si>
    <t xml:space="preserve">UY-112</t>
  </si>
  <si>
    <t xml:space="preserve">FormA Estudiantes</t>
  </si>
  <si>
    <t xml:space="preserve">Datos sobre perfiles y características de estudiantes universitarios.</t>
  </si>
  <si>
    <t xml:space="preserve">https://planeamiento.udelar.edu.uy/portal/forma-estudiantes/</t>
  </si>
  <si>
    <t xml:space="preserve">Información del formulario continuo de estudiantes.</t>
  </si>
  <si>
    <t xml:space="preserve">universidad; estudiantes; perfiles; encuestas</t>
  </si>
  <si>
    <t xml:space="preserve">UY-113</t>
  </si>
  <si>
    <t xml:space="preserve">Mirador Educativo</t>
  </si>
  <si>
    <t xml:space="preserve">INEEd</t>
  </si>
  <si>
    <t xml:space="preserve">Indicadores para seguir el estado de la educación y sus metas nacionales.</t>
  </si>
  <si>
    <t xml:space="preserve">https://mirador.ineed.edu.uy/</t>
  </si>
  <si>
    <t xml:space="preserve">Las metas 2025–2029/2030 no son años de observación estadística.</t>
  </si>
  <si>
    <t xml:space="preserve">educación; equidad; logros; metas</t>
  </si>
  <si>
    <t xml:space="preserve">UY-114</t>
  </si>
  <si>
    <t xml:space="preserve">Monitor Educativo de Educación Técnico Profesional</t>
  </si>
  <si>
    <t xml:space="preserve">ANEP / DGETP-UTU</t>
  </si>
  <si>
    <t xml:space="preserve">Nacional y centros</t>
  </si>
  <si>
    <t xml:space="preserve">Información de educación media y superior técnico profesional y sus estudiantes.</t>
  </si>
  <si>
    <t xml:space="preserve">https://www.anep.edu.uy/monitorutu/servlet/com.monitorutu16.portada</t>
  </si>
  <si>
    <t xml:space="preserve">T28 · Educación técnica y tecnológica</t>
  </si>
  <si>
    <t xml:space="preserve">2025: matrícula</t>
  </si>
  <si>
    <t xml:space="preserve">2025-11-25</t>
  </si>
  <si>
    <t xml:space="preserve">ANEP</t>
  </si>
  <si>
    <t xml:space="preserve">La edición anunciada para el 7/10/2026 aún es futura al corte del relevamiento.</t>
  </si>
  <si>
    <t xml:space="preserve">https://www.utu.edu.uy/utu-presento-el-monitor-educativo-2025-en-educacion-media-y-superior/
https://www.utu.edu.uy/utu-presento-el-monitor-educativo-2025-en-educacion-media-y-superior/</t>
  </si>
  <si>
    <t xml:space="preserve">educación; técnica; utu; matrícula; resultados</t>
  </si>
  <si>
    <t xml:space="preserve">UY-115</t>
  </si>
  <si>
    <t xml:space="preserve">Monitor Educativo de Enseñanza Inicial y Primaria</t>
  </si>
  <si>
    <t xml:space="preserve">ANEP / DGEIP</t>
  </si>
  <si>
    <t xml:space="preserve">Indicadores de matrícula, asistencia y resultados de escuelas e inicial.</t>
  </si>
  <si>
    <t xml:space="preserve">https://www.anep.edu.uy/monitor/servlet/portada</t>
  </si>
  <si>
    <t xml:space="preserve">2024 comprobado</t>
  </si>
  <si>
    <t xml:space="preserve">Puede haber una edición posterior no comprobada.</t>
  </si>
  <si>
    <t xml:space="preserve">https://www.anep.edu.uy/monitor/servlet/portada
https://www.anep.edu.uy/monitorRepo/Documentos2024/situacion.pdf</t>
  </si>
  <si>
    <t xml:space="preserve">educación; primaria; matrícula; asistencia; resultados</t>
  </si>
  <si>
    <t xml:space="preserve">UY-116</t>
  </si>
  <si>
    <t xml:space="preserve">Monitor Educativo Liceal</t>
  </si>
  <si>
    <t xml:space="preserve">ANEP / DGES</t>
  </si>
  <si>
    <t xml:space="preserve">Información por liceo y agregados de matrícula, promoción y trayectorias.</t>
  </si>
  <si>
    <t xml:space="preserve">http://servicios.ces.edu.uy/monitorces/servlet/portada</t>
  </si>
  <si>
    <t xml:space="preserve">2026: matrícula; 2025: resultados</t>
  </si>
  <si>
    <t xml:space="preserve">Edición presentada en septiembre de 2026; enlace institucional de acceso.</t>
  </si>
  <si>
    <t xml:space="preserve">https://dges.edu.uy/comunicacion/agenda/secundaria-presenta-monitor-educativo-liceal
https://dges.edu.uy/comunicacion/noticias/se-presento-monitor-educativo-liceal-2026
https://www.dges.edu.uy/comunicacion/noticias/se-presento-monitor-educativo-liceal-2026</t>
  </si>
  <si>
    <t xml:space="preserve">educación; secundaria; matrícula; resultados</t>
  </si>
  <si>
    <t xml:space="preserve">UY-117</t>
  </si>
  <si>
    <t xml:space="preserve">Observatorio de la Educación</t>
  </si>
  <si>
    <t xml:space="preserve">Estadísticas e indicadores del sistema educativo administrado por ANEP.</t>
  </si>
  <si>
    <t xml:space="preserve">https://observatorio.anep.edu.uy/</t>
  </si>
  <si>
    <t xml:space="preserve">No se verificó un año único para todos los niveles.</t>
  </si>
  <si>
    <t xml:space="preserve">educación; matrícula; trayectorias; resultados</t>
  </si>
  <si>
    <t xml:space="preserve">UY-118</t>
  </si>
  <si>
    <t xml:space="preserve">Observatorio Educación y Trabajo</t>
  </si>
  <si>
    <t xml:space="preserve">DGETP-UTU / Planeamiento Educativo</t>
  </si>
  <si>
    <t xml:space="preserve">Investigación sobre vínculos entre formación, inserción laboral y estructura productiva.</t>
  </si>
  <si>
    <t xml:space="preserve">https://planeamientoeducativo.utu.edu.uy/investigacion/observatorio</t>
  </si>
  <si>
    <t xml:space="preserve">Predominan informes y estudios.</t>
  </si>
  <si>
    <t xml:space="preserve">educación; empleo; formación-técnica; trayectorias</t>
  </si>
  <si>
    <t xml:space="preserve">UY-119</t>
  </si>
  <si>
    <t xml:space="preserve">Portal de observatorios y monitores educativos</t>
  </si>
  <si>
    <t xml:space="preserve">Directorio de herramientas</t>
  </si>
  <si>
    <t xml:space="preserve">Acceso integrado a monitores y recursos de seguimiento educativo.</t>
  </si>
  <si>
    <t xml:space="preserve">https://obsymon.anep.edu.uy/inicio</t>
  </si>
  <si>
    <t xml:space="preserve">Es una puerta de entrada; los monitores se individualizan como recursos vinculados.</t>
  </si>
  <si>
    <t xml:space="preserve">educación; monitores; enseñanza</t>
  </si>
  <si>
    <t xml:space="preserve">UY-120</t>
  </si>
  <si>
    <t xml:space="preserve">SIGANEP</t>
  </si>
  <si>
    <t xml:space="preserve">Mapas de oferta educativa, programas e indicadores territoriales del sistema ANEP.</t>
  </si>
  <si>
    <t xml:space="preserve">https://sig.anep.edu.uy/siganep</t>
  </si>
  <si>
    <t xml:space="preserve">Vigencia distinta según capa; el sitio incluye funciones con autenticación.</t>
  </si>
  <si>
    <t xml:space="preserve">educación; geodatos; centros; territorio</t>
  </si>
  <si>
    <t xml:space="preserve">UY-121</t>
  </si>
  <si>
    <t xml:space="preserve">Prisma — indicadores de ciencia, tecnología e innovación</t>
  </si>
  <si>
    <t xml:space="preserve">ANII</t>
  </si>
  <si>
    <t xml:space="preserve">Indicadores sobre inversión en investigación, innovación, capacidades científicas y resultados del sistema CTI.</t>
  </si>
  <si>
    <t xml:space="preserve">https://prisma.uy/</t>
  </si>
  <si>
    <t xml:space="preserve">T11 · Investigación, ciencia e innovación</t>
  </si>
  <si>
    <t xml:space="preserve">No hay un corte único verificado para todos los indicadores.</t>
  </si>
  <si>
    <t xml:space="preserve">https://prisma.uy/eportal/web/anii-prisma</t>
  </si>
  <si>
    <t xml:space="preserve">Ciencia, tecnología e innovación</t>
  </si>
  <si>
    <t xml:space="preserve">ciencia; tecnología; innovación; investigación; género</t>
  </si>
  <si>
    <t xml:space="preserve">UY-122</t>
  </si>
  <si>
    <t xml:space="preserve">Redata — repositorio de datos de investigación</t>
  </si>
  <si>
    <t xml:space="preserve">Conjuntos de datos de investigación publicados para consulta y reutilización.</t>
  </si>
  <si>
    <t xml:space="preserve">https://redata.anii.org.uy/</t>
  </si>
  <si>
    <t xml:space="preserve">T44</t>
  </si>
  <si>
    <t xml:space="preserve">Vigencia y condiciones de acceso según cada conjunto.</t>
  </si>
  <si>
    <t xml:space="preserve">https://anii.org.uy/sitios/servicios-digitales/</t>
  </si>
  <si>
    <t xml:space="preserve">investigación; datos-abiertos; ciencia-abierta</t>
  </si>
  <si>
    <t xml:space="preserve">UY-123</t>
  </si>
  <si>
    <t xml:space="preserve">ANDA — catálogo de microdatos</t>
  </si>
  <si>
    <t xml:space="preserve">Instituto Nacional de Estadística</t>
  </si>
  <si>
    <t xml:space="preserve">Catálogo de datos</t>
  </si>
  <si>
    <t xml:space="preserve">Catálogo de operaciones estadísticas, documentación y microdatos disponibles para investigación.</t>
  </si>
  <si>
    <t xml:space="preserve">https://www4.ine.gub.uy/Anda5/index.php/catalog</t>
  </si>
  <si>
    <t xml:space="preserve">T49; T25</t>
  </si>
  <si>
    <t xml:space="preserve">Acceso y requisitos varían según conjunto; destino enlazado por INE.</t>
  </si>
  <si>
    <t xml:space="preserve">https://www.gub.uy/instituto-nacional-estadistica/</t>
  </si>
  <si>
    <t xml:space="preserve">Transversal y gestión pública</t>
  </si>
  <si>
    <t xml:space="preserve">microdatos; encuestas; censos; metadatos</t>
  </si>
  <si>
    <t xml:space="preserve">UY-124</t>
  </si>
  <si>
    <t xml:space="preserve">Catálogo de datos abiertos de Montevideo</t>
  </si>
  <si>
    <t xml:space="preserve">Conjuntos de datos departamentales publicados para consulta y reutilización.</t>
  </si>
  <si>
    <t xml:space="preserve">https://ckan.montevideo.gub.uy/</t>
  </si>
  <si>
    <t xml:space="preserve">Actualización y licencia por conjunto.</t>
  </si>
  <si>
    <t xml:space="preserve">https://montevideo.gub.uy/tipo/area-tematica/cercania-digital/datos-abiertos</t>
  </si>
  <si>
    <t xml:space="preserve">montevideo; datos-abiertos; catálogo; gestión</t>
  </si>
  <si>
    <t xml:space="preserve">UY-125</t>
  </si>
  <si>
    <t xml:space="preserve">AGESIC y organismos publicadores</t>
  </si>
  <si>
    <t xml:space="preserve">Catálogo central de conjuntos de datos publicados por organismos e instituciones del país.</t>
  </si>
  <si>
    <t xml:space="preserve">https://catalogodatos.gub.uy/</t>
  </si>
  <si>
    <t xml:space="preserve">Cada conjunto tiene su propia fecha, licencia y frecuencia; no se listó cada dataset como portal.</t>
  </si>
  <si>
    <t xml:space="preserve">https://www.gub.uy/agencia-gobierno-electronico-sociedad-informacion-conocimiento/comunicacion/noticias/catalogo-nacional-datos-abiertos-supero-2600-conjuntos-publicados</t>
  </si>
  <si>
    <t xml:space="preserve">datos-abiertos; catálogo; reutilización; transversal</t>
  </si>
  <si>
    <t xml:space="preserve">UY-126</t>
  </si>
  <si>
    <t xml:space="preserve">Censos de Población, Hogares y Viviendas</t>
  </si>
  <si>
    <t xml:space="preserve">Resultados, documentación y herramientas de acceso a los censos nacionales.</t>
  </si>
  <si>
    <t xml:space="preserve">https://www.gub.uy/instituto-nacional-estadistica/censosphv</t>
  </si>
  <si>
    <t xml:space="preserve">2023</t>
  </si>
  <si>
    <t xml:space="preserve">Año de referencia censal, no fecha de publicación.</t>
  </si>
  <si>
    <t xml:space="preserve">censos; demografía; vivienda; territorio</t>
  </si>
  <si>
    <t xml:space="preserve">UY-127</t>
  </si>
  <si>
    <t xml:space="preserve">Datos de compras públicas</t>
  </si>
  <si>
    <t xml:space="preserve">ARCE</t>
  </si>
  <si>
    <t xml:space="preserve">Acceso institucional a datos y herramientas de análisis de las compras estatales.</t>
  </si>
  <si>
    <t xml:space="preserve">https://www.gub.uy/agencia-reguladora-compras-estatales/datosdecomprasp%C3%BAblicas</t>
  </si>
  <si>
    <t xml:space="preserve">T43 · Gestión pública, transparencia y compras</t>
  </si>
  <si>
    <t xml:space="preserve">Complementa el observatorio con vías de acceso a datos.</t>
  </si>
  <si>
    <t xml:space="preserve">compras-públicas; datos-abiertos; contratación</t>
  </si>
  <si>
    <t xml:space="preserve">UY-128</t>
  </si>
  <si>
    <t xml:space="preserve">Datos y estadísticas electorales</t>
  </si>
  <si>
    <t xml:space="preserve">Corte Electoral</t>
  </si>
  <si>
    <t xml:space="preserve">Nacional y circuitos</t>
  </si>
  <si>
    <t xml:space="preserve">Resultados electorales por circuito y hoja, descargas y sistemas de consulta.</t>
  </si>
  <si>
    <t xml:space="preserve">https://www.gub.uy/corte-electoral/datos-y-estadisticas/estadisticas</t>
  </si>
  <si>
    <t xml:space="preserve">T45 · Elecciones y democracia</t>
  </si>
  <si>
    <t xml:space="preserve">2025: departamentales y municipales</t>
  </si>
  <si>
    <t xml:space="preserve">2025-12-26</t>
  </si>
  <si>
    <t xml:space="preserve">Fecha de actualización del conjunto abierto de elecciones departamentales 2025.</t>
  </si>
  <si>
    <t xml:space="preserve">https://www.gub.uy/corte-electoral/datos-y-estadisticas/estadisticas
https://www.gub.uy/corte-electoral/datos-y-estadisticas/datos-abiertos</t>
  </si>
  <si>
    <t xml:space="preserve">elecciones; democracia; resultados; territorio</t>
  </si>
  <si>
    <t xml:space="preserve">UY-129</t>
  </si>
  <si>
    <t xml:space="preserve">Información y Comunicación — Montevidata</t>
  </si>
  <si>
    <t xml:space="preserve">Datos de atención ciudadana, uso de sitios e información institucional.</t>
  </si>
  <si>
    <t xml:space="preserve">https://montevidata.montevideo.gub.uy/informacion-y-comunicacion</t>
  </si>
  <si>
    <t xml:space="preserve">montevideo; atención-ciudadana; comunicación; gestión</t>
  </si>
  <si>
    <t xml:space="preserve">UY-130</t>
  </si>
  <si>
    <t xml:space="preserve">Mirador de Gobierno Abierto</t>
  </si>
  <si>
    <t xml:space="preserve">AGESIC</t>
  </si>
  <si>
    <t xml:space="preserve">Seguimiento de compromisos y avances de los planes nacionales de gobierno abierto.</t>
  </si>
  <si>
    <t xml:space="preserve">https://miradordegobiernoabierto.agesic.gub.uy/</t>
  </si>
  <si>
    <t xml:space="preserve">T43</t>
  </si>
  <si>
    <t xml:space="preserve">2025–2029 es el período del sexto plan, no una fecha de datos.</t>
  </si>
  <si>
    <t xml:space="preserve">https://miradordegobiernoabierto.agesic.gub.uy/SigesVisualizador/gu/o/GA/p/1989?csrt=16533568085812402590
https://miradordegobiernoabierto.agesic.gub.uy/SigesVisualizador/gu/o/GA/p/3141%3Bjsessionid%3Dr3S9WHvhuSpDeKVSXs5s702W.node1</t>
  </si>
  <si>
    <t xml:space="preserve">gobierno-abierto; compromisos; participación; seguimiento</t>
  </si>
  <si>
    <t xml:space="preserve">UY-131</t>
  </si>
  <si>
    <t xml:space="preserve">Observatorio de Compras Públicas</t>
  </si>
  <si>
    <t xml:space="preserve">Indicadores y visualizaciones de contrataciones, rubros y proveedores estatales.</t>
  </si>
  <si>
    <t xml:space="preserve">https://observatorio.arce.gub.uy/eportal/iw_IL/web/guest/inicio</t>
  </si>
  <si>
    <t xml:space="preserve">Algunos paneles declaran actualización diaria; último corte no auditado.</t>
  </si>
  <si>
    <t xml:space="preserve">https://observatorio.arce.gub.uy/eportal/iw_IL/web/guest/inicio
https://observatorio.arce.gub.uy/eportal/web/guest/grandes-rubros</t>
  </si>
  <si>
    <t xml:space="preserve">compras-públicas; proveedores; contratación; gasto</t>
  </si>
  <si>
    <t xml:space="preserve">UY-132</t>
  </si>
  <si>
    <t xml:space="preserve">Observatorio de Gestión Humana del Estado</t>
  </si>
  <si>
    <t xml:space="preserve">ONSC</t>
  </si>
  <si>
    <t xml:space="preserve">Información y análisis del empleo y la gestión de personas en el Estado.</t>
  </si>
  <si>
    <t xml:space="preserve">https://www.gub.uy/oficina-nacional-servicio-civil/laboratorio-observatorio</t>
  </si>
  <si>
    <t xml:space="preserve">2025-08-18</t>
  </si>
  <si>
    <t xml:space="preserve">Entrada institucional; fecha de la página de objetivos, no corte de las bases.</t>
  </si>
  <si>
    <t xml:space="preserve">https://www.gub.uy/oficina-nacional-servicio-civil/politicas-y-gestion/observatorio-sus-objetivos
https://www.gub.uy/oficina-nacional-servicio-civil/laboratorio-observatorio</t>
  </si>
  <si>
    <t xml:space="preserve">empleo-público; funcionarios; género; gestión</t>
  </si>
  <si>
    <t xml:space="preserve">UY-133</t>
  </si>
  <si>
    <t xml:space="preserve">Observatorio de Transparencia de Montevideo</t>
  </si>
  <si>
    <t xml:space="preserve">Visualizaciones de ingresos, egresos y resultados financieros de la Intendencia.</t>
  </si>
  <si>
    <t xml:space="preserve">https://montevidata.montevideo.gub.uy/transparencia-0</t>
  </si>
  <si>
    <t xml:space="preserve">Fecha variable por serie.</t>
  </si>
  <si>
    <t xml:space="preserve">montevideo; presupuesto; ingresos; gastos</t>
  </si>
  <si>
    <t xml:space="preserve">UY-134</t>
  </si>
  <si>
    <t xml:space="preserve">ODS Uruguay — seguimiento nacional</t>
  </si>
  <si>
    <t xml:space="preserve">Información y recursos de seguimiento de los Objetivos de Desarrollo Sostenible.</t>
  </si>
  <si>
    <t xml:space="preserve">https://www.opp.gub.uy/es/ods-2026</t>
  </si>
  <si>
    <t xml:space="preserve">La edición 2026 del sitio no equivale al período de cada indicador.</t>
  </si>
  <si>
    <t xml:space="preserve">ods; desarrollo-sostenible; indicadores; políticas</t>
  </si>
  <si>
    <t xml:space="preserve">UY-135</t>
  </si>
  <si>
    <t xml:space="preserve">Portal de Transparencia Presupuestaria</t>
  </si>
  <si>
    <t xml:space="preserve">Información de planificación, presupuesto, ejecución y resultados del sector público.</t>
  </si>
  <si>
    <t xml:space="preserve">https://transparenciapresupuestaria.opp.gub.uy/</t>
  </si>
  <si>
    <t xml:space="preserve">Último corte de ejecución no comprobado.</t>
  </si>
  <si>
    <t xml:space="preserve">https://transparenciapresupuestaria.opp.gub.uy/sites/default/files/datos-abiertos/PTP%20-%20Nota%20met%20presupuesto%20genero.pdf
https://opp.gub.uy/es/noticias/portal-de-transparencia-presupuestaria-de-opp-es-premiado</t>
  </si>
  <si>
    <t xml:space="preserve">presupuesto; gasto-público; resultados; planificación</t>
  </si>
  <si>
    <t xml:space="preserve">UY-136</t>
  </si>
  <si>
    <t xml:space="preserve">Portal estadístico INE</t>
  </si>
  <si>
    <t xml:space="preserve">Punto de acceso a estadísticas oficiales, encuestas, censos, publicaciones y visualizadores.</t>
  </si>
  <si>
    <t xml:space="preserve">T25; T14; T01; T17</t>
  </si>
  <si>
    <t xml:space="preserve">Agosto 2026: empleo y salarios</t>
  </si>
  <si>
    <t xml:space="preserve">Fecha del boletín de mercado laboral localizado; otros productos tienen otros cortes.</t>
  </si>
  <si>
    <t xml:space="preserve">estadísticas-oficiales; demografía; economía; sociedad</t>
  </si>
  <si>
    <t xml:space="preserve">UY-137</t>
  </si>
  <si>
    <t xml:space="preserve">Redatam — Uruguay</t>
  </si>
  <si>
    <t xml:space="preserve">INE / plataforma Redatam de CEPAL</t>
  </si>
  <si>
    <t xml:space="preserve">Procesamiento en línea de bases censales para generar tabulaciones personalizadas.</t>
  </si>
  <si>
    <t xml:space="preserve">https://www.redatam.org/es/procesar-en-linea/latam/uruguay</t>
  </si>
  <si>
    <t xml:space="preserve">Enlace al nodo Uruguay de Redatam.</t>
  </si>
  <si>
    <t xml:space="preserve">censos; tabulaciones; demografía; microdatos</t>
  </si>
  <si>
    <t xml:space="preserve">UY-138</t>
  </si>
  <si>
    <t xml:space="preserve">Visualizadores INE</t>
  </si>
  <si>
    <t xml:space="preserve">Acceso a tableros de censo, mercado laboral, empresas, alquileres y compraventas.</t>
  </si>
  <si>
    <t xml:space="preserve">https://www.gub.uy/instituto-nacional-estadistica/visualizadores</t>
  </si>
  <si>
    <t xml:space="preserve">T14; T07; T09; T25</t>
  </si>
  <si>
    <t xml:space="preserve">La versión 2026 de un visor no acredita por sí sola que todos sus datos sean de 2026.</t>
  </si>
  <si>
    <t xml:space="preserve">visualizadores; empleo; empresas; inmuebles; censo</t>
  </si>
  <si>
    <t xml:space="preserve">UY-139</t>
  </si>
  <si>
    <t xml:space="preserve">Estadísticas penitenciarias</t>
  </si>
  <si>
    <t xml:space="preserve">Ministerio del Interior / AECA</t>
  </si>
  <si>
    <t xml:space="preserve">Herramientas de consulta de los principales indicadores penitenciarios.</t>
  </si>
  <si>
    <t xml:space="preserve">https://www.gub.uy/ministerio-interior/violencia-criminalidad</t>
  </si>
  <si>
    <t xml:space="preserve">T47 · Justicia y sistema penitenciario</t>
  </si>
  <si>
    <t xml:space="preserve">Acceso desde la página AECA; período más reciente no comprobado.</t>
  </si>
  <si>
    <t xml:space="preserve">Seguridad, justicia y derechos</t>
  </si>
  <si>
    <t xml:space="preserve">cárceles; privación-libertad; sistema-penitenciario</t>
  </si>
  <si>
    <t xml:space="preserve">UY-140</t>
  </si>
  <si>
    <t xml:space="preserve">Información estadística judicial</t>
  </si>
  <si>
    <t xml:space="preserve">Poder Judicial</t>
  </si>
  <si>
    <t xml:space="preserve">Estadísticas e informes sobre actividad de órganos jurisdiccionales.</t>
  </si>
  <si>
    <t xml:space="preserve">https://www.poderjudicial.gub.uy/informacion-estadistica</t>
  </si>
  <si>
    <t xml:space="preserve">Último ejercicio publicado no comprobado.</t>
  </si>
  <si>
    <t xml:space="preserve">justicia; expedientes; sentencias; actividad-judicial</t>
  </si>
  <si>
    <t xml:space="preserve">UY-141</t>
  </si>
  <si>
    <t xml:space="preserve">Observatorio Legislativo</t>
  </si>
  <si>
    <t xml:space="preserve">Seguimiento de proyectos de ley desde una perspectiva de derechos humanos.</t>
  </si>
  <si>
    <t xml:space="preserve">https://www.gub.uy/institucion-nacional-derechos-humanos-uruguay/tematica/observatorio-legislativo</t>
  </si>
  <si>
    <t xml:space="preserve">Monitoreo documental, no una base exclusivamente numérica.</t>
  </si>
  <si>
    <t xml:space="preserve">derechos-humanos; legislación; parlamento; seguimiento</t>
  </si>
  <si>
    <t xml:space="preserve">UY-142</t>
  </si>
  <si>
    <t xml:space="preserve">Portal geográfico de siniestralidad vial</t>
  </si>
  <si>
    <t xml:space="preserve">UNASEV</t>
  </si>
  <si>
    <t xml:space="preserve">Consulta territorial de siniestros de tránsito y sus consecuencias.</t>
  </si>
  <si>
    <t xml:space="preserve">https://aplicacionesunasev.presidencia.gub.uy/mapas</t>
  </si>
  <si>
    <t xml:space="preserve">2024: mapas localizados</t>
  </si>
  <si>
    <t xml:space="preserve">El último año de un informe nacional puede diferir del disponible en el mapa.</t>
  </si>
  <si>
    <t xml:space="preserve">seguridad-vial; siniestros; movilidad; geodatos</t>
  </si>
  <si>
    <t xml:space="preserve">UY-143</t>
  </si>
  <si>
    <t xml:space="preserve">SIMORE — Sistema de Monitoreo de Recomendaciones</t>
  </si>
  <si>
    <t xml:space="preserve">Ministerio de Relaciones Exteriores</t>
  </si>
  <si>
    <t xml:space="preserve">Consulta y seguimiento de recomendaciones internacionales en derechos humanos.</t>
  </si>
  <si>
    <t xml:space="preserve">https://simore.mrree.gub.uy/buscador/home/</t>
  </si>
  <si>
    <t xml:space="preserve">Enlace confirmado por INDDHH; carga del destino no confirmada.</t>
  </si>
  <si>
    <t xml:space="preserve">https://www.gub.uy/institucion-nacional-derechos-humanos-uruguay/estudios</t>
  </si>
  <si>
    <t xml:space="preserve">derechos-humanos; recomendaciones; compromisos; seguimiento</t>
  </si>
  <si>
    <t xml:space="preserve">UY-144</t>
  </si>
  <si>
    <t xml:space="preserve">Visualizador de datos de Fiscalía</t>
  </si>
  <si>
    <t xml:space="preserve">Fiscalía General de la Nación</t>
  </si>
  <si>
    <t xml:space="preserve">Consulta de datos sobre funcionamiento del proceso penal y actuación de Fiscalía.</t>
  </si>
  <si>
    <t xml:space="preserve">https://www.gub.uy/fiscalia-general-nacion/comunicacion/noticias/fiscalia-presenta-nuevo-visualizador-datos</t>
  </si>
  <si>
    <t xml:space="preserve">Entrada institucional al visualizador; no se usó la fecha de lanzamiento como fecha de datos.</t>
  </si>
  <si>
    <t xml:space="preserve">https://www.gub.uy/fiscalia-general-nacion/comunicacion/noticias/fiscalia-presenta-nuevo-visualizador-datos
https://www.gub.uy/fiscalia-general-nacion/</t>
  </si>
  <si>
    <t xml:space="preserve">justicia; proceso-penal; denuncias; imputaciones</t>
  </si>
  <si>
    <t xml:space="preserve">UY-145</t>
  </si>
  <si>
    <t xml:space="preserve">Visualizador de estadísticas criminales</t>
  </si>
  <si>
    <t xml:space="preserve">Paneles para examinar delitos registrados y su distribución temporal y territorial.</t>
  </si>
  <si>
    <t xml:space="preserve">https://observatorioseguridad.minterior.gub.uy/</t>
  </si>
  <si>
    <t xml:space="preserve">Enero–junio 2026: boletín asociado</t>
  </si>
  <si>
    <t xml:space="preserve">2026-07-20</t>
  </si>
  <si>
    <t xml:space="preserve">Período confirmado en boletín AECA; no se verificó igual corte en todos los paneles.</t>
  </si>
  <si>
    <t xml:space="preserve">https://observatorioseguridad.minterior.gub.uy/
https://www.gub.uy/ministerio-interior/comunicacion/noticias/delitos-bajaron-37-primer-semestre-2026-respecto-igual-periodo-2025</t>
  </si>
  <si>
    <t xml:space="preserve">delitos; seguridad; violencia; denuncias</t>
  </si>
  <si>
    <t xml:space="preserve">UY-146</t>
  </si>
  <si>
    <t xml:space="preserve">Innovation Capabilities Navigator</t>
  </si>
  <si>
    <t xml:space="preserve">OMPI y Harvard Growth Lab</t>
  </si>
  <si>
    <t xml:space="preserve">Internacional</t>
  </si>
  <si>
    <t xml:space="preserve">Organismo internacional</t>
  </si>
  <si>
    <t xml:space="preserve">Plataforma de comparación internacional</t>
  </si>
  <si>
    <t xml:space="preserve">Internacional (193 economías)</t>
  </si>
  <si>
    <t xml:space="preserve">Perfiles de capacidades de innovación por economía en ciencia, tecnología, emprendimiento y producción, derivados de publicaciones, patentes, marcas y exportaciones. Permite comparar Uruguay con otros países.</t>
  </si>
  <si>
    <t xml:space="preserve">https://www.wipo.int/innovation-capabilities-navigator/</t>
  </si>
  <si>
    <t xml:space="preserve">T12; T03</t>
  </si>
  <si>
    <t xml:space="preserve">2026-07 (lanzamiento)</t>
  </si>
  <si>
    <t xml:space="preserve">Basado en el Innovation Capabilities Outlook 2026. Más de 2.500 capacidades de innovación.</t>
  </si>
  <si>
    <t xml:space="preserve">https://www.wipo.int/es/web/economics/w/news/2026/ipo-launches-innovation-capabilities-navigator-to-support-evidence-based-innovation-policy</t>
  </si>
  <si>
    <t xml:space="preserve">2026-10-08</t>
  </si>
  <si>
    <t xml:space="preserve">Corte 08/10/2026</t>
  </si>
  <si>
    <t xml:space="preserve">UY-147</t>
  </si>
  <si>
    <t xml:space="preserve">Global Innovation Index — perfil de Uruguay</t>
  </si>
  <si>
    <t xml:space="preserve">OMPI</t>
  </si>
  <si>
    <t xml:space="preserve">Índice compuesto</t>
  </si>
  <si>
    <t xml:space="preserve">Internacional (incluye perfil Uruguay)</t>
  </si>
  <si>
    <t xml:space="preserve">Índice anual de innovación con perfil por economía que ubica a Uruguay en pilares de instituciones, capital humano, infraestructura, sofisticación de mercado y empresarial, y resultados.</t>
  </si>
  <si>
    <t xml:space="preserve">https://www.wipo.int/edocs/gii-ranking/2025/uy.pdf</t>
  </si>
  <si>
    <t xml:space="preserve">T12; T13</t>
  </si>
  <si>
    <t xml:space="preserve">2025: edición GII</t>
  </si>
  <si>
    <t xml:space="preserve">Perfil de economía de la edición 2025 localizado.</t>
  </si>
  <si>
    <t xml:space="preserve">UY-148</t>
  </si>
  <si>
    <t xml:space="preserve">WIPO IP Statistics Data Center</t>
  </si>
  <si>
    <t xml:space="preserve">Estadísticas de solicitudes y registros de patentes, marcas, diseños industriales y modelos de utilidad por oficina y por país de origen, con descarga.</t>
  </si>
  <si>
    <t xml:space="preserve">https://www3.wipo.int/ipstats/</t>
  </si>
  <si>
    <t xml:space="preserve">T12 · Propiedad intelectual</t>
  </si>
  <si>
    <t xml:space="preserve">T11</t>
  </si>
  <si>
    <t xml:space="preserve">URL de referencia; período no verificado en este corte.</t>
  </si>
  <si>
    <t xml:space="preserve">UY-149</t>
  </si>
  <si>
    <t xml:space="preserve">RICYT — indicadores de ciencia y tecnología</t>
  </si>
  <si>
    <t xml:space="preserve">Red Iberoamericana de Indicadores de Ciencia y Tecnología</t>
  </si>
  <si>
    <t xml:space="preserve">Red internacional</t>
  </si>
  <si>
    <t xml:space="preserve">Iberoamérica</t>
  </si>
  <si>
    <t xml:space="preserve">Indicadores comparables de inversión en I+D, investigadores, graduados, patentes y bibliometría para países iberoamericanos, con series de Uruguay.</t>
  </si>
  <si>
    <t xml:space="preserve">https://www.ricyt.org/</t>
  </si>
  <si>
    <t xml:space="preserve">T12; T29</t>
  </si>
  <si>
    <t xml:space="preserve">URL de referencia; Uruguay reporta a la red por medio de ANII. Período no verificado en este corte.</t>
  </si>
  <si>
    <t xml:space="preserve">UY-150</t>
  </si>
  <si>
    <t xml:space="preserve">UIS Data Browser</t>
  </si>
  <si>
    <t xml:space="preserve">UNESCO — Instituto de Estadística</t>
  </si>
  <si>
    <t xml:space="preserve">Datos comparables de educación, ciencia y tecnología (gasto en I+D, investigadores por sexo), cultura y comunicación.</t>
  </si>
  <si>
    <t xml:space="preserve">https://databrowser.uis.unesco.org/</t>
  </si>
  <si>
    <t xml:space="preserve">T27; T29; T30</t>
  </si>
  <si>
    <t xml:space="preserve">UY-151</t>
  </si>
  <si>
    <t xml:space="preserve">Índice Latinoamericano de Inteligencia Artificial — ILIA</t>
  </si>
  <si>
    <t xml:space="preserve">CENIA con apoyo de CEPAL</t>
  </si>
  <si>
    <t xml:space="preserve">América Latina</t>
  </si>
  <si>
    <t xml:space="preserve">Índice que mide factores habilitantes, investigación y desarrollo, y gobernanza de la inteligencia artificial en países de la región, con fichas por país.</t>
  </si>
  <si>
    <t xml:space="preserve">https://indicelatam.cl/</t>
  </si>
  <si>
    <t xml:space="preserve">T10; T13</t>
  </si>
  <si>
    <t xml:space="preserve">2025: edición ILIA</t>
  </si>
  <si>
    <t xml:space="preserve">2026-03 (fichas de país 2025)</t>
  </si>
  <si>
    <t xml:space="preserve">Fichas de país y aspectos metodológicos ILIA 2025 localizados.</t>
  </si>
  <si>
    <t xml:space="preserve">https://indicelatam.cl/wp-content/uploads/2026/03/ILIA-2025.-Fichas-de-pais-y-aspectos-metodologicos.pdf</t>
  </si>
  <si>
    <t xml:space="preserve">UY-152</t>
  </si>
  <si>
    <t xml:space="preserve">SCImago Country Rank</t>
  </si>
  <si>
    <t xml:space="preserve">SCImago Lab</t>
  </si>
  <si>
    <t xml:space="preserve">Sector privado / académico internacional</t>
  </si>
  <si>
    <t xml:space="preserve">Indicadores bibliométricos de producción y citación científica por país y área temática, basados en Scopus.</t>
  </si>
  <si>
    <t xml:space="preserve">https://www.scimagojr.com/countryrank.php</t>
  </si>
  <si>
    <t xml:space="preserve">T29</t>
  </si>
  <si>
    <t xml:space="preserve">UY-153</t>
  </si>
  <si>
    <t xml:space="preserve">Atlas of Economic Complexity</t>
  </si>
  <si>
    <t xml:space="preserve">Harvard Growth Lab</t>
  </si>
  <si>
    <t xml:space="preserve">Académico internacional</t>
  </si>
  <si>
    <t xml:space="preserve">Estructura exportadora, complejidad económica y oportunidades de diversificación productiva por país.</t>
  </si>
  <si>
    <t xml:space="preserve">https://atlas.hks.harvard.edu/</t>
  </si>
  <si>
    <t xml:space="preserve">T11; T05</t>
  </si>
  <si>
    <t xml:space="preserve">UY-154</t>
  </si>
  <si>
    <t xml:space="preserve">Global Entrepreneurship Monitor — Uruguay</t>
  </si>
  <si>
    <t xml:space="preserve">GEM; equipo nacional IEEM (Universidad de Montevideo)</t>
  </si>
  <si>
    <t xml:space="preserve">Internacional (con reporte nacional)</t>
  </si>
  <si>
    <t xml:space="preserve">Encuesta comparada de actividad emprendedora y condiciones del ecosistema; Uruguay cuenta con reportes nacionales del IEEM.</t>
  </si>
  <si>
    <t xml:space="preserve">https://www.gemconsortium.org/economy-profiles/uruguay</t>
  </si>
  <si>
    <t xml:space="preserve">2023: reporte nacional</t>
  </si>
  <si>
    <t xml:space="preserve">Último reporte nacional localizado: GEM 2023 (IEEM). Verificar continuidad.</t>
  </si>
  <si>
    <t xml:space="preserve">https://ieem.edu.uy/pdf/noticias/610/nuevo-reporte-nacional-gem-2023.pdf</t>
  </si>
  <si>
    <t xml:space="preserve">UY-155</t>
  </si>
  <si>
    <t xml:space="preserve">OECD.AI — perfil de Uruguay</t>
  </si>
  <si>
    <t xml:space="preserve">OCDE</t>
  </si>
  <si>
    <t xml:space="preserve">Políticas, iniciativas e indicadores de inteligencia artificial por país.</t>
  </si>
  <si>
    <t xml:space="preserve">https://oecd.ai/en/dashboards/countries/Uruguay</t>
  </si>
  <si>
    <t xml:space="preserve">https://oecd.ai/</t>
  </si>
  <si>
    <t xml:space="preserve">UY-156</t>
  </si>
  <si>
    <t xml:space="preserve">World Bank Open Data — Uruguay</t>
  </si>
  <si>
    <t xml:space="preserve">Banco Mundial</t>
  </si>
  <si>
    <t xml:space="preserve">Indicadores de desarrollo comparables (economía, pobreza, educación, salud, ambiente) con descarga y API.</t>
  </si>
  <si>
    <t xml:space="preserve">https://data.worldbank.org/country/uruguay</t>
  </si>
  <si>
    <t xml:space="preserve">T01; T17; T14</t>
  </si>
  <si>
    <t xml:space="preserve">UY-157</t>
  </si>
  <si>
    <t xml:space="preserve">CEPALSTAT</t>
  </si>
  <si>
    <t xml:space="preserve">CEPAL</t>
  </si>
  <si>
    <t xml:space="preserve">América Latina y el Caribe</t>
  </si>
  <si>
    <t xml:space="preserve">Estadísticas e indicadores económicos, sociales y ambientales comparables de la región, con perfiles nacionales.</t>
  </si>
  <si>
    <t xml:space="preserve">https://statistics.cepal.org/portal/cepalstat/</t>
  </si>
  <si>
    <t xml:space="preserve">T01; T17; T32</t>
  </si>
  <si>
    <t xml:space="preserve">UY-158</t>
  </si>
  <si>
    <t xml:space="preserve">ILOSTAT</t>
  </si>
  <si>
    <t xml:space="preserve">OIT</t>
  </si>
  <si>
    <t xml:space="preserve">Estadísticas comparables de empleo, salarios, informalidad y protección social, desagregadas por sexo y edad.</t>
  </si>
  <si>
    <t xml:space="preserve">https://ilostat.ilo.org/</t>
  </si>
  <si>
    <t xml:space="preserve">UY-159</t>
  </si>
  <si>
    <t xml:space="preserve">Observatorio de Igualdad de Género de América Latina y el Caribe</t>
  </si>
  <si>
    <t xml:space="preserve">Indicadores de autonomía económica, física y en la toma de decisiones de las mujeres, comparables entre países.</t>
  </si>
  <si>
    <t xml:space="preserve">https://oig.cepal.org/</t>
  </si>
  <si>
    <t xml:space="preserve">T19; T46</t>
  </si>
  <si>
    <t xml:space="preserve">UY-160</t>
  </si>
  <si>
    <t xml:space="preserve">Sustainable Development Report — perfil de Uruguay</t>
  </si>
  <si>
    <t xml:space="preserve">SDSN</t>
  </si>
  <si>
    <t xml:space="preserve">Índice y tableros de avance en los ODS por país, con perfil de Uruguay.</t>
  </si>
  <si>
    <t xml:space="preserve">https://dashboards.sdgindex.org/profiles/uruguay</t>
  </si>
  <si>
    <t xml:space="preserve">https://dashboards.sdgindex.org/</t>
  </si>
  <si>
    <t xml:space="preserve">UY-161</t>
  </si>
  <si>
    <t xml:space="preserve">Base de datos mundial de indicadores ODS</t>
  </si>
  <si>
    <t xml:space="preserve">ONU — División de Estadística</t>
  </si>
  <si>
    <t xml:space="preserve">Indicadores oficiales de seguimiento de metas ODS por país, con descarga y API.</t>
  </si>
  <si>
    <t xml:space="preserve">https://unstats.un.org/sdgs/dataportal</t>
  </si>
  <si>
    <t xml:space="preserve">UY-162</t>
  </si>
  <si>
    <t xml:space="preserve">Global Health Observatory</t>
  </si>
  <si>
    <t xml:space="preserve">OMS</t>
  </si>
  <si>
    <t xml:space="preserve">Indicadores de salud comparables por país: mortalidad, enfermedades, sistemas de salud y factores de riesgo.</t>
  </si>
  <si>
    <t xml:space="preserve">https://www.who.int/data/gho</t>
  </si>
  <si>
    <t xml:space="preserve">T23; T24</t>
  </si>
  <si>
    <t xml:space="preserve">UY-163</t>
  </si>
  <si>
    <t xml:space="preserve">FAOSTAT</t>
  </si>
  <si>
    <t xml:space="preserve">FAO</t>
  </si>
  <si>
    <t xml:space="preserve">Estadísticas de producción agropecuaria, comercio, uso de la tierra y seguridad alimentaria por país.</t>
  </si>
  <si>
    <t xml:space="preserve">https://www.fao.org/faostat/</t>
  </si>
  <si>
    <t xml:space="preserve">T20</t>
  </si>
  <si>
    <t xml:space="preserve">UY-164</t>
  </si>
  <si>
    <t xml:space="preserve">Encuesta de Gobierno Electrónico de Naciones Unidas — EGDI</t>
  </si>
  <si>
    <t xml:space="preserve">ONU DESA</t>
  </si>
  <si>
    <t xml:space="preserve">Índice de desarrollo del gobierno electrónico y de participación electrónica por país.</t>
  </si>
  <si>
    <t xml:space="preserve">https://publicadministration.un.org/egovkb/</t>
  </si>
  <si>
    <t xml:space="preserve">T10</t>
  </si>
  <si>
    <t xml:space="preserve">UY-165</t>
  </si>
  <si>
    <t xml:space="preserve">ITU DataHub</t>
  </si>
  <si>
    <t xml:space="preserve">UIT</t>
  </si>
  <si>
    <t xml:space="preserve">Indicadores de conectividad, acceso y uso de TIC por país.</t>
  </si>
  <si>
    <t xml:space="preserve">https://datahub.itu.int/</t>
  </si>
  <si>
    <t xml:space="preserve">UY-166</t>
  </si>
  <si>
    <t xml:space="preserve">UN Comtrade</t>
  </si>
  <si>
    <t xml:space="preserve">Estadísticas detalladas de comercio internacional de bienes y servicios por producto y socio.</t>
  </si>
  <si>
    <t xml:space="preserve">https://comtradeplus.un.org/</t>
  </si>
  <si>
    <t xml:space="preserve">UY-167</t>
  </si>
  <si>
    <t xml:space="preserve">Climate Watch — Uruguay</t>
  </si>
  <si>
    <t xml:space="preserve">World Resources Institute</t>
  </si>
  <si>
    <t xml:space="preserve">Sociedad civil internacional</t>
  </si>
  <si>
    <t xml:space="preserve">Emisiones históricas, compromisos NDC y metas climáticas por país.</t>
  </si>
  <si>
    <t xml:space="preserve">https://www.climatewatchdata.org/countries/URY</t>
  </si>
  <si>
    <t xml:space="preserve">T34</t>
  </si>
  <si>
    <t xml:space="preserve">https://www.climatewatchdata.org/</t>
  </si>
  <si>
    <t xml:space="preserve">UY-168</t>
  </si>
  <si>
    <t xml:space="preserve">Encuesta de Usos de Tecnologías de la Información — EUTIC</t>
  </si>
  <si>
    <t xml:space="preserve">AGESIC e INE</t>
  </si>
  <si>
    <t xml:space="preserve">Encuesta periódica sobre acceso y uso de internet y tecnologías digitales en hogares y personas, con informes de resultados.</t>
  </si>
  <si>
    <t xml:space="preserve">https://www.gub.uy/agencia-gobierno-electronico-sociedad-informacion-conocimiento/sites/agencia-gobierno-electronico-sociedad-informacion-conocimiento/files/2025-11/_Informe_EUTIC_2025.pdf</t>
  </si>
  <si>
    <t xml:space="preserve">2025: informe EUTIC</t>
  </si>
  <si>
    <t xml:space="preserve">2025-11</t>
  </si>
  <si>
    <t xml:space="preserve">Informe EUTIC 2025 localizado. Conviene enlazar la página de la encuesta en gub.uy cuando se confirme.</t>
  </si>
  <si>
    <t xml:space="preserve">UY-169</t>
  </si>
  <si>
    <t xml:space="preserve">Sistema de Cuidados — datos y estadísticas</t>
  </si>
  <si>
    <t xml:space="preserve">MIDES / Secretaría Nacional de Cuidados</t>
  </si>
  <si>
    <t xml:space="preserve">Informes de rendición de cuentas y estadísticas de servicios y cobertura del Sistema Nacional Integrado de Cuidados.</t>
  </si>
  <si>
    <t xml:space="preserve">https://www.gub.uy/sistema-cuidados/datos-y-estadisticas</t>
  </si>
  <si>
    <t xml:space="preserve">T19 · Cuidados</t>
  </si>
  <si>
    <t xml:space="preserve">E02 · Infancia y adolescencia; E04 · Personas mayores y envejecimiento; E05 · Discapacidad</t>
  </si>
  <si>
    <t xml:space="preserve">Se localizaron informes Cuidados rinde cuentas hasta 2020 en la búsqueda; vigencia actual no comprobada.</t>
  </si>
  <si>
    <t xml:space="preserve">https://www.gub.uy/sistema-cuidados/datos-y-estadisticas/estadisticas/cuidados-rinde-cuentas-febrero-2020</t>
  </si>
  <si>
    <t xml:space="preserve">UY-170</t>
  </si>
  <si>
    <t xml:space="preserve">Base pública de marcas y patentes</t>
  </si>
  <si>
    <t xml:space="preserve">MIEM / DNPI</t>
  </si>
  <si>
    <t xml:space="preserve">Consulta pública de solicitudes y registros de marcas y patentes ante la Dirección Nacional de la Propiedad Industrial.</t>
  </si>
  <si>
    <t xml:space="preserve">https://www.gub.uy/ministerio-industria-energia-mineria/tramites-y-servicios/servicios/base-publica-marcas-patentes</t>
  </si>
  <si>
    <t xml:space="preserve">Herramienta de consulta de registros; no se localizó un tablero estadístico público de la DNPI.</t>
  </si>
  <si>
    <t xml:space="preserve">Cobertura temática del ecosistema</t>
  </si>
  <si>
    <t xml:space="preserve">Recursos nacionales y departamentales; las referencias internacionales se cuentan aparte. Todas las cifras son fórmulas sobre el inventario.</t>
  </si>
  <si>
    <t xml:space="preserve">Código</t>
  </si>
  <si>
    <t xml:space="preserve">Tema</t>
  </si>
  <si>
    <t xml:space="preserve">ODS</t>
  </si>
  <si>
    <t xml:space="preserve">Recursos (tema principal)</t>
  </si>
  <si>
    <t xml:space="preserve">Recursos (cualquier mención)</t>
  </si>
  <si>
    <t xml:space="preserve">Con análisis e informes (nivel 4)</t>
  </si>
  <si>
    <t xml:space="preserve">Con visualización (nivel 3)</t>
  </si>
  <si>
    <t xml:space="preserve">Con vigencia comprobada</t>
  </si>
  <si>
    <t xml:space="preserve">Referencias internacionales</t>
  </si>
  <si>
    <t xml:space="preserve">Estado de cobertura</t>
  </si>
  <si>
    <t xml:space="preserve">Concentración</t>
  </si>
  <si>
    <t xml:space="preserve">Datasets en Catálogo AGESIC</t>
  </si>
  <si>
    <t xml:space="preserve">Estado</t>
  </si>
  <si>
    <t xml:space="preserve">Temas</t>
  </si>
  <si>
    <t xml:space="preserve">Cobertura con análisis</t>
  </si>
  <si>
    <t xml:space="preserve">Cobertura sin análisis</t>
  </si>
  <si>
    <t xml:space="preserve">Cobertura indirecta</t>
  </si>
  <si>
    <t xml:space="preserve">Sin cobertura nacional (solo internacional)</t>
  </si>
  <si>
    <t xml:space="preserve">Sin cobertura</t>
  </si>
  <si>
    <t xml:space="preserve">Temas con alta concentración</t>
  </si>
  <si>
    <t xml:space="preserve">Estados: con análisis = al menos un recurso nacional de nivel 4; sin análisis = recursos con el tema como principal pero ninguno de nivel 4; indirecta = el tema solo aparece como secundario; sin cobertura = ningún recurso nacional. Concentración = 5 o más recursos con el tema como principal.</t>
  </si>
  <si>
    <t xml:space="preserve">Cobertura por Objetivo de Desarrollo Sostenible</t>
  </si>
  <si>
    <t xml:space="preserve">Agregación de la cobertura temática según el ODS principal de cada tema.</t>
  </si>
  <si>
    <t xml:space="preserve">Objetivo</t>
  </si>
  <si>
    <t xml:space="preserve">Temas de la taxonomía</t>
  </si>
  <si>
    <t xml:space="preserve">Recursos nacionales (ODS principal)</t>
  </si>
  <si>
    <t xml:space="preserve">Temas con análisis</t>
  </si>
  <si>
    <t xml:space="preserve">Temas sin análisis o indirectos</t>
  </si>
  <si>
    <t xml:space="preserve">Temas sin cobertura nacional</t>
  </si>
  <si>
    <t xml:space="preserve">Lectura</t>
  </si>
  <si>
    <t xml:space="preserve">Fin de la pobreza</t>
  </si>
  <si>
    <t xml:space="preserve">Hambre cero</t>
  </si>
  <si>
    <t xml:space="preserve">Salud y bienestar</t>
  </si>
  <si>
    <t xml:space="preserve">Educación de calidad</t>
  </si>
  <si>
    <t xml:space="preserve">Igualdad de género</t>
  </si>
  <si>
    <t xml:space="preserve">Agua limpia y saneamiento</t>
  </si>
  <si>
    <t xml:space="preserve">Energía asequible y no contaminante</t>
  </si>
  <si>
    <t xml:space="preserve">Trabajo decente y crecimiento económico</t>
  </si>
  <si>
    <t xml:space="preserve">Industria, innovación e infraestructura</t>
  </si>
  <si>
    <t xml:space="preserve">Reducción de las desigualdades</t>
  </si>
  <si>
    <t xml:space="preserve">Ciudades y comunidades sostenibles</t>
  </si>
  <si>
    <t xml:space="preserve">Producción y consumo responsables</t>
  </si>
  <si>
    <t xml:space="preserve">Acción por el clima</t>
  </si>
  <si>
    <t xml:space="preserve">Vida submarina</t>
  </si>
  <si>
    <t xml:space="preserve">Vida de ecosistemas terrestres</t>
  </si>
  <si>
    <t xml:space="preserve">Paz, justicia e instituciones sólidas</t>
  </si>
  <si>
    <t xml:space="preserve">Alianzas para lograr los objetivos</t>
  </si>
  <si>
    <t xml:space="preserve">Total</t>
  </si>
  <si>
    <t xml:space="preserve">Cobertura de enfoques transversales</t>
  </si>
  <si>
    <t xml:space="preserve">Solo cuentan recursos que incorporan el enfoque de forma explícita (ver regla en la hoja Enfoques).</t>
  </si>
  <si>
    <t xml:space="preserve">Enfoque</t>
  </si>
  <si>
    <t xml:space="preserve">Recursos nacionales</t>
  </si>
  <si>
    <t xml:space="preserve">Con análisis (nivel 4)</t>
  </si>
  <si>
    <t xml:space="preserve">Resumen del inventario</t>
  </si>
  <si>
    <t xml:space="preserve">Tablas cruzadas con fórmulas sobre el inventario.</t>
  </si>
  <si>
    <t xml:space="preserve">Área (tema principal) por nivel de análisis</t>
  </si>
  <si>
    <t xml:space="preserve">Economía y producción</t>
  </si>
  <si>
    <t xml:space="preserve">Trabajo y protección social</t>
  </si>
  <si>
    <t xml:space="preserve">Salud y población</t>
  </si>
  <si>
    <t xml:space="preserve">Educación, cultura y deporte</t>
  </si>
  <si>
    <t xml:space="preserve">Ambiente, energía y clima</t>
  </si>
  <si>
    <t xml:space="preserve">Territorio, vivienda y movilidad</t>
  </si>
  <si>
    <t xml:space="preserve">Estado, gobierno y derechos</t>
  </si>
  <si>
    <t xml:space="preserve">Recursos</t>
  </si>
  <si>
    <t xml:space="preserve">% vigencia</t>
  </si>
  <si>
    <t xml:space="preserve">Instituciones con más recursos</t>
  </si>
  <si>
    <t xml:space="preserve">Tipo</t>
  </si>
  <si>
    <t xml:space="preserve">Institución</t>
  </si>
  <si>
    <t xml:space="preserve">Etiqueta (lista)</t>
  </si>
  <si>
    <t xml:space="preserve">Área (código)</t>
  </si>
  <si>
    <t xml:space="preserve">Nombre ODS</t>
  </si>
  <si>
    <t xml:space="preserve">Metas ODS de referencia</t>
  </si>
  <si>
    <t xml:space="preserve">Sinónimos de búsqueda</t>
  </si>
  <si>
    <t xml:space="preserve">Término Catálogo AGESIC</t>
  </si>
  <si>
    <t xml:space="preserve">Código área</t>
  </si>
  <si>
    <t xml:space="preserve">A1</t>
  </si>
  <si>
    <t xml:space="preserve">Macroeconomía y cuentas nacionales</t>
  </si>
  <si>
    <t xml:space="preserve">8.1; 17.13</t>
  </si>
  <si>
    <t xml:space="preserve">pbi; producto interno bruto; pib; cuentas nacionales; actividad económica; crecimiento; coyuntura; macroeconomía; inflación; tipo de cambio; monetario; financiero; bcu</t>
  </si>
  <si>
    <t xml:space="preserve">pbi</t>
  </si>
  <si>
    <t xml:space="preserve">Finanzas públicas, tributación y presupuesto</t>
  </si>
  <si>
    <t xml:space="preserve">17.1; 16.6</t>
  </si>
  <si>
    <t xml:space="preserve">finanzas públicas; fiscal; déficit; deuda pública; impuestos; recaudación; tributación; presupuesto; gasto público; dgi</t>
  </si>
  <si>
    <t xml:space="preserve">finanzas públicas</t>
  </si>
  <si>
    <t xml:space="preserve">A2</t>
  </si>
  <si>
    <t xml:space="preserve">Comercio exterior e inversión</t>
  </si>
  <si>
    <t xml:space="preserve">17.11; 8.2</t>
  </si>
  <si>
    <t xml:space="preserve">exportaciones; importaciones; comercio exterior; aduanas; inversión extranjera; ied; mercados; destinos; balanza comercial</t>
  </si>
  <si>
    <t xml:space="preserve">exportaciones</t>
  </si>
  <si>
    <t xml:space="preserve">A3</t>
  </si>
  <si>
    <t xml:space="preserve">Agro y cadenas agroindustriales</t>
  </si>
  <si>
    <t xml:space="preserve">2.3; 2.4</t>
  </si>
  <si>
    <t xml:space="preserve">agro; agropecuario; ganadería; carne; lechería; agricultura; soja; granos; forestación; vitivinicultura; horticultura; frutas; tierras; censo agropecuario</t>
  </si>
  <si>
    <t xml:space="preserve">agro</t>
  </si>
  <si>
    <t xml:space="preserve">A4</t>
  </si>
  <si>
    <t xml:space="preserve">T05</t>
  </si>
  <si>
    <t xml:space="preserve">Industria y manufactura</t>
  </si>
  <si>
    <t xml:space="preserve">9.2</t>
  </si>
  <si>
    <t xml:space="preserve">industria; manufactura; producción industrial; industrial; fábricas</t>
  </si>
  <si>
    <t xml:space="preserve">industria</t>
  </si>
  <si>
    <t xml:space="preserve">A5</t>
  </si>
  <si>
    <t xml:space="preserve">T06</t>
  </si>
  <si>
    <t xml:space="preserve">Turismo</t>
  </si>
  <si>
    <t xml:space="preserve">8.9</t>
  </si>
  <si>
    <t xml:space="preserve">turismo; turistas; visitantes; cruceros; gasto turístico; hotelería</t>
  </si>
  <si>
    <t xml:space="preserve">turismo</t>
  </si>
  <si>
    <t xml:space="preserve">A6</t>
  </si>
  <si>
    <t xml:space="preserve">Empresas, mipymes y emprendimiento</t>
  </si>
  <si>
    <t xml:space="preserve">8.3; 9.3</t>
  </si>
  <si>
    <t xml:space="preserve">empresas; mipymes; pymes; pequeñas empresas; emprendimiento; emprendedores; startups; financiamiento empresarial; microfinanzas; registro de empresas</t>
  </si>
  <si>
    <t xml:space="preserve">empresas</t>
  </si>
  <si>
    <t xml:space="preserve">A7</t>
  </si>
  <si>
    <t xml:space="preserve">T08</t>
  </si>
  <si>
    <t xml:space="preserve">Logística, transporte de cargas e infraestructura</t>
  </si>
  <si>
    <t xml:space="preserve">9.1</t>
  </si>
  <si>
    <t xml:space="preserve">logística; puertos; cargas; infraestructura; rutas; carreteras; obras públicas; transporte de carga</t>
  </si>
  <si>
    <t xml:space="preserve">logística</t>
  </si>
  <si>
    <t xml:space="preserve">A8</t>
  </si>
  <si>
    <t xml:space="preserve">Precios, consumo y construcción</t>
  </si>
  <si>
    <t xml:space="preserve">12.8; 8.1</t>
  </si>
  <si>
    <t xml:space="preserve">precios; ipc; consumo; consumidores; construcción; mercado inmobiliario; alquileres; compraventas; inmuebles</t>
  </si>
  <si>
    <t xml:space="preserve">precios</t>
  </si>
  <si>
    <t xml:space="preserve">Telecomunicaciones y sociedad digital</t>
  </si>
  <si>
    <t xml:space="preserve">9.c; 17.6; 17.8</t>
  </si>
  <si>
    <t xml:space="preserve">telecomunicaciones; internet; conectividad; banda ancha; tic; digital; uso de tecnologías; brecha digital; gobierno digital</t>
  </si>
  <si>
    <t xml:space="preserve">telecomunicaciones</t>
  </si>
  <si>
    <t xml:space="preserve">Investigación, ciencia e innovación</t>
  </si>
  <si>
    <t xml:space="preserve">9.5; 9.b</t>
  </si>
  <si>
    <t xml:space="preserve">cti; ciencia; tecnología; innovación; i+d; investigación; investigadores; gasto en i+d; publicaciones científicas; bibliometría; capacidades de innovación; complejidad económica; inteligencia artificial; ia</t>
  </si>
  <si>
    <t xml:space="preserve">cti</t>
  </si>
  <si>
    <t xml:space="preserve">T12</t>
  </si>
  <si>
    <t xml:space="preserve">Propiedad intelectual</t>
  </si>
  <si>
    <t xml:space="preserve">patentes; marcas; propiedad intelectual; propiedad industrial; dnpi; diseños industriales</t>
  </si>
  <si>
    <t xml:space="preserve">patentes</t>
  </si>
  <si>
    <t xml:space="preserve">T13</t>
  </si>
  <si>
    <t xml:space="preserve">Sector tecnológico y software</t>
  </si>
  <si>
    <t xml:space="preserve">9.c; 8.2</t>
  </si>
  <si>
    <t xml:space="preserve">software; empresas tecnológicas; sector ti; tecnologías de la información; servicios tecnológicos; talento digital</t>
  </si>
  <si>
    <t xml:space="preserve">software</t>
  </si>
  <si>
    <t xml:space="preserve">Empleo y mercado de trabajo</t>
  </si>
  <si>
    <t xml:space="preserve">8.5; 8.6</t>
  </si>
  <si>
    <t xml:space="preserve">empleo; desempleo; trabajo; mercado laboral; mercado de trabajo; ocupación; salarios; informalidad; desocupación; ech; encuesta continua de hogares</t>
  </si>
  <si>
    <t xml:space="preserve">empleo</t>
  </si>
  <si>
    <t xml:space="preserve">Salud y seguridad laboral</t>
  </si>
  <si>
    <t xml:space="preserve">8.8</t>
  </si>
  <si>
    <t xml:space="preserve">accidentes de trabajo; salud laboral; seguridad laboral; siniestralidad laboral; enfermedades profesionales</t>
  </si>
  <si>
    <t xml:space="preserve">accidentes de trabajo</t>
  </si>
  <si>
    <t xml:space="preserve">Seguridad social y pensiones</t>
  </si>
  <si>
    <t xml:space="preserve">1.3</t>
  </si>
  <si>
    <t xml:space="preserve">seguridad social; jubilaciones; pensiones; prestaciones; cotizantes; bps; previsión social</t>
  </si>
  <si>
    <t xml:space="preserve">seguridad social</t>
  </si>
  <si>
    <t xml:space="preserve">Pobreza, desigualdad y condiciones de vida</t>
  </si>
  <si>
    <t xml:space="preserve">1.2; 10.1; 10.2</t>
  </si>
  <si>
    <t xml:space="preserve">pobreza; indigencia; desigualdad; ingresos de los hogares; condiciones de vida; vulnerabilidad; políticas sociales</t>
  </si>
  <si>
    <t xml:space="preserve">pobreza</t>
  </si>
  <si>
    <t xml:space="preserve">Protección social y servicios sociales</t>
  </si>
  <si>
    <t xml:space="preserve">1.3; 10.4</t>
  </si>
  <si>
    <t xml:space="preserve">protección social; programas sociales; servicios sociales; inau; transferencias; asistencia social</t>
  </si>
  <si>
    <t xml:space="preserve">protección social</t>
  </si>
  <si>
    <t xml:space="preserve">T19</t>
  </si>
  <si>
    <t xml:space="preserve">Cuidados</t>
  </si>
  <si>
    <t xml:space="preserve">5.4</t>
  </si>
  <si>
    <t xml:space="preserve">cuidados; sistema de cuidados; cuidado infantil; dependencia; asistentes personales; trabajo no remunerado</t>
  </si>
  <si>
    <t xml:space="preserve">cuidados</t>
  </si>
  <si>
    <t xml:space="preserve">Alimentación y nutrición</t>
  </si>
  <si>
    <t xml:space="preserve">2.1; 2.2</t>
  </si>
  <si>
    <t xml:space="preserve">alimentación; nutrición; seguridad alimentaria; inseguridad alimentaria; hambre; malnutrición; obesidad; derecho a la alimentación</t>
  </si>
  <si>
    <t xml:space="preserve">alimentación</t>
  </si>
  <si>
    <t xml:space="preserve">Formación profesional y capacitación</t>
  </si>
  <si>
    <t xml:space="preserve">4.3; 4.4; 8.6</t>
  </si>
  <si>
    <t xml:space="preserve">formación profesional; capacitación; inefop; recalificación; competencias laborales</t>
  </si>
  <si>
    <t xml:space="preserve">formación profesional</t>
  </si>
  <si>
    <t xml:space="preserve">Salud y sistema sanitario</t>
  </si>
  <si>
    <t xml:space="preserve">3.8; 3.c</t>
  </si>
  <si>
    <t xml:space="preserve">salud; sistema de salud; prestadores; mutualistas; hospitales; atención sanitaria; personal de salud; snis; cobertura de salud</t>
  </si>
  <si>
    <t xml:space="preserve">salud</t>
  </si>
  <si>
    <t xml:space="preserve">T23</t>
  </si>
  <si>
    <t xml:space="preserve">Salud sexual y reproductiva</t>
  </si>
  <si>
    <t xml:space="preserve">3.7; 5.6</t>
  </si>
  <si>
    <t xml:space="preserve">salud sexual; salud reproductiva; aborto; anticoncepción; embarazo adolescente</t>
  </si>
  <si>
    <t xml:space="preserve">salud sexual</t>
  </si>
  <si>
    <t xml:space="preserve">T24</t>
  </si>
  <si>
    <t xml:space="preserve">Drogas y consumos</t>
  </si>
  <si>
    <t xml:space="preserve">3.5</t>
  </si>
  <si>
    <t xml:space="preserve">drogas; cannabis; marihuana; alcohol; tabaco; consumo problemático; adicciones</t>
  </si>
  <si>
    <t xml:space="preserve">drogas</t>
  </si>
  <si>
    <t xml:space="preserve">Población, demografía y estadísticas vitales</t>
  </si>
  <si>
    <t xml:space="preserve">17.18; 17.19</t>
  </si>
  <si>
    <t xml:space="preserve">población; demografía; censo; censos; natalidad; mortalidad; nacimientos; defunciones; estadísticas vitales; hogares; envejecimiento poblacional; proyecciones de población</t>
  </si>
  <si>
    <t xml:space="preserve">población</t>
  </si>
  <si>
    <t xml:space="preserve">T26</t>
  </si>
  <si>
    <t xml:space="preserve">Migración y movilidad humana</t>
  </si>
  <si>
    <t xml:space="preserve">10.7</t>
  </si>
  <si>
    <t xml:space="preserve">migración; migrantes; inmigración; emigración; movilidad humana; retorno; diáspora; frontera</t>
  </si>
  <si>
    <t xml:space="preserve">migración</t>
  </si>
  <si>
    <t xml:space="preserve">T27</t>
  </si>
  <si>
    <t xml:space="preserve">Educación inicial, primaria y media</t>
  </si>
  <si>
    <t xml:space="preserve">4.1; 4.2</t>
  </si>
  <si>
    <t xml:space="preserve">educación; escuelas; liceos; primaria; secundaria; educación media; matrícula; deserción; desvinculación; aprendizajes; anep; ceibal</t>
  </si>
  <si>
    <t xml:space="preserve">educación</t>
  </si>
  <si>
    <t xml:space="preserve">T28</t>
  </si>
  <si>
    <t xml:space="preserve">Educación técnica y tecnológica</t>
  </si>
  <si>
    <t xml:space="preserve">4.3; 4.4</t>
  </si>
  <si>
    <t xml:space="preserve">educación técnica; utu; dgetp; educación terciaria técnica; formación técnica; educación y trabajo</t>
  </si>
  <si>
    <t xml:space="preserve">educación técnica</t>
  </si>
  <si>
    <t xml:space="preserve">Educación superior y universidad</t>
  </si>
  <si>
    <t xml:space="preserve">4.3</t>
  </si>
  <si>
    <t xml:space="preserve">universidad; educación superior; udelar; estudiantes universitarios; egresados; docentes universitarios; terciaria</t>
  </si>
  <si>
    <t xml:space="preserve">universidad</t>
  </si>
  <si>
    <t xml:space="preserve">T30</t>
  </si>
  <si>
    <t xml:space="preserve">Cultura</t>
  </si>
  <si>
    <t xml:space="preserve">11.4</t>
  </si>
  <si>
    <t xml:space="preserve">cultura; consumo cultural; industrias creativas; patrimonio; museos; espectáculos; equipamientos culturales</t>
  </si>
  <si>
    <t xml:space="preserve">cultura</t>
  </si>
  <si>
    <t xml:space="preserve">T31</t>
  </si>
  <si>
    <t xml:space="preserve">Deporte y actividad física</t>
  </si>
  <si>
    <t xml:space="preserve">3.4; 11.7</t>
  </si>
  <si>
    <t xml:space="preserve">deporte; actividad física; plazas de deportes; espacios deportivos</t>
  </si>
  <si>
    <t xml:space="preserve">deporte</t>
  </si>
  <si>
    <t xml:space="preserve">T32</t>
  </si>
  <si>
    <t xml:space="preserve">Ambiente y biodiversidad</t>
  </si>
  <si>
    <t xml:space="preserve">15.1; 15.5; 14.1</t>
  </si>
  <si>
    <t xml:space="preserve">ambiente; medio ambiente; biodiversidad; ecosistemas; calidad del aire; áreas protegidas; contaminación; cobertura del suelo; uso del suelo</t>
  </si>
  <si>
    <t xml:space="preserve">ambiente</t>
  </si>
  <si>
    <t xml:space="preserve">Agua y recursos hídricos</t>
  </si>
  <si>
    <t xml:space="preserve">6.3; 6.4; 6.5</t>
  </si>
  <si>
    <t xml:space="preserve">agua; recursos hídricos; hidrología; ríos; cuencas; sequía; inundaciones; saneamiento; calidad de agua; dinagua</t>
  </si>
  <si>
    <t xml:space="preserve">agua</t>
  </si>
  <si>
    <t xml:space="preserve">Energía</t>
  </si>
  <si>
    <t xml:space="preserve">7.1; 7.2; 7.3</t>
  </si>
  <si>
    <t xml:space="preserve">energía; electricidad; renovables; matriz energética; balance energético; combustibles; generación eléctrica; eficiencia energética</t>
  </si>
  <si>
    <t xml:space="preserve">energía</t>
  </si>
  <si>
    <t xml:space="preserve">Clima, meteorología y cambio climático</t>
  </si>
  <si>
    <t xml:space="preserve">13.1; 13.2</t>
  </si>
  <si>
    <t xml:space="preserve">clima; cambio climático; meteorología; lluvias; precipitación; temperatura; emisiones; gases de efecto invernadero; ndc; adaptación</t>
  </si>
  <si>
    <t xml:space="preserve">clima</t>
  </si>
  <si>
    <t xml:space="preserve">T36</t>
  </si>
  <si>
    <t xml:space="preserve">Residuos y economía circular</t>
  </si>
  <si>
    <t xml:space="preserve">12.5</t>
  </si>
  <si>
    <t xml:space="preserve">residuos; reciclaje; economía circular; basura; envases; valorización</t>
  </si>
  <si>
    <t xml:space="preserve">residuos</t>
  </si>
  <si>
    <t xml:space="preserve">T37</t>
  </si>
  <si>
    <t xml:space="preserve">Suelos, geología y recursos naturales</t>
  </si>
  <si>
    <t xml:space="preserve">15.3</t>
  </si>
  <si>
    <t xml:space="preserve">suelos; coneat; geología; minería; recursos naturales; subsuelo</t>
  </si>
  <si>
    <t xml:space="preserve">suelos</t>
  </si>
  <si>
    <t xml:space="preserve">Riesgos y emergencias</t>
  </si>
  <si>
    <t xml:space="preserve">11.5; 13.1</t>
  </si>
  <si>
    <t xml:space="preserve">riesgos; emergencias; desastres; eventos adversos; sinae; afectaciones</t>
  </si>
  <si>
    <t xml:space="preserve">riesgos</t>
  </si>
  <si>
    <t xml:space="preserve">Territorio, ordenamiento y desarrollo local</t>
  </si>
  <si>
    <t xml:space="preserve">11.3; 11.a</t>
  </si>
  <si>
    <t xml:space="preserve">territorio; ordenamiento territorial; desarrollo local; departamentos; municipios; gobiernos subnacionales; urbanismo; planificación territorial</t>
  </si>
  <si>
    <t xml:space="preserve">territorio</t>
  </si>
  <si>
    <t xml:space="preserve">Vivienda, hábitat y asentamientos</t>
  </si>
  <si>
    <t xml:space="preserve">11.1</t>
  </si>
  <si>
    <t xml:space="preserve">vivienda; hábitat; asentamientos; déficit habitacional; tenencia; hogares</t>
  </si>
  <si>
    <t xml:space="preserve">vivienda</t>
  </si>
  <si>
    <t xml:space="preserve">Información geográfica, cartografía y catastro</t>
  </si>
  <si>
    <t xml:space="preserve">17.18</t>
  </si>
  <si>
    <t xml:space="preserve">cartografía; mapas; geodatos; sig; gis; catastro; padrones; ide; geoportal; topografía</t>
  </si>
  <si>
    <t xml:space="preserve">cartografía</t>
  </si>
  <si>
    <t xml:space="preserve">T42</t>
  </si>
  <si>
    <t xml:space="preserve">Movilidad urbana y seguridad vial</t>
  </si>
  <si>
    <t xml:space="preserve">11.2; 3.6</t>
  </si>
  <si>
    <t xml:space="preserve">movilidad; transporte público; ómnibus; tránsito; bicicletas; siniestros de tránsito; seguridad vial; unasev</t>
  </si>
  <si>
    <t xml:space="preserve">movilidad</t>
  </si>
  <si>
    <t xml:space="preserve">Gestión pública, transparencia y compras</t>
  </si>
  <si>
    <t xml:space="preserve">16.6; 16.10</t>
  </si>
  <si>
    <t xml:space="preserve">gestión pública; transparencia; compras públicas; contratación pública; proveedores del estado; funcionarios públicos; empleo público; presupuesto municipal</t>
  </si>
  <si>
    <t xml:space="preserve">gestión pública</t>
  </si>
  <si>
    <t xml:space="preserve">Gobierno abierto y datos abiertos</t>
  </si>
  <si>
    <t xml:space="preserve">16.7; 16.10; 17.18</t>
  </si>
  <si>
    <t xml:space="preserve">gobierno abierto; datos abiertos; catálogo de datos; reutilización; microdatos; participación ciudadana; atención ciudadana</t>
  </si>
  <si>
    <t xml:space="preserve">gobierno abierto</t>
  </si>
  <si>
    <t xml:space="preserve">T45</t>
  </si>
  <si>
    <t xml:space="preserve">Elecciones y democracia</t>
  </si>
  <si>
    <t xml:space="preserve">16.7</t>
  </si>
  <si>
    <t xml:space="preserve">elecciones; votos; resultados electorales; democracia; corte electoral; plebiscito</t>
  </si>
  <si>
    <t xml:space="preserve">elecciones</t>
  </si>
  <si>
    <t xml:space="preserve">Seguridad y delito</t>
  </si>
  <si>
    <t xml:space="preserve">16.1</t>
  </si>
  <si>
    <t xml:space="preserve">seguridad; delitos; criminalidad; homicidios; rapiñas; hurtos; denuncias; violencia</t>
  </si>
  <si>
    <t xml:space="preserve">seguridad</t>
  </si>
  <si>
    <t xml:space="preserve">Justicia y sistema penitenciario</t>
  </si>
  <si>
    <t xml:space="preserve">16.3</t>
  </si>
  <si>
    <t xml:space="preserve">justicia; poder judicial; fiscalía; proceso penal; cárceles; privación de libertad; penitenciario; sentencias</t>
  </si>
  <si>
    <t xml:space="preserve">justicia</t>
  </si>
  <si>
    <t xml:space="preserve">Derechos humanos</t>
  </si>
  <si>
    <t xml:space="preserve">16.a; 10.3</t>
  </si>
  <si>
    <t xml:space="preserve">derechos humanos; desca; recomendaciones internacionales; inddhh; legislación; derechos</t>
  </si>
  <si>
    <t xml:space="preserve">derechos humanos</t>
  </si>
  <si>
    <t xml:space="preserve">T49</t>
  </si>
  <si>
    <t xml:space="preserve">Estadística oficial y seguimiento ODS</t>
  </si>
  <si>
    <t xml:space="preserve">estadísticas oficiales; ine; indicadores; ods; objetivos de desarrollo sostenible; agenda 2030; desarrollo sostenible</t>
  </si>
  <si>
    <t xml:space="preserve">estadísticas oficiales</t>
  </si>
  <si>
    <t xml:space="preserve">T50</t>
  </si>
  <si>
    <t xml:space="preserve">T50 · Pesca y recursos marinos</t>
  </si>
  <si>
    <t xml:space="preserve">Pesca y recursos marinos</t>
  </si>
  <si>
    <t xml:space="preserve">14.4; 14.7</t>
  </si>
  <si>
    <t xml:space="preserve">pesca; pesquero; recursos marinos; acuicultura; océano; mar; dinara</t>
  </si>
  <si>
    <t xml:space="preserve">pesca</t>
  </si>
  <si>
    <t xml:space="preserve">T51</t>
  </si>
  <si>
    <t xml:space="preserve">T51 · Inclusión financiera y crédito</t>
  </si>
  <si>
    <t xml:space="preserve">Inclusión financiera y crédito</t>
  </si>
  <si>
    <t xml:space="preserve">8.10</t>
  </si>
  <si>
    <t xml:space="preserve">inclusión financiera; crédito; bancarización; préstamos; medios de pago; endeudamiento de hogares</t>
  </si>
  <si>
    <t xml:space="preserve">inclusión financiera</t>
  </si>
  <si>
    <t xml:space="preserve">T52</t>
  </si>
  <si>
    <t xml:space="preserve">T52 · Salud mental</t>
  </si>
  <si>
    <t xml:space="preserve">Salud mental</t>
  </si>
  <si>
    <t xml:space="preserve">3.4</t>
  </si>
  <si>
    <t xml:space="preserve">salud mental; suicidio; bienestar psicológico; depresión; ansiedad</t>
  </si>
  <si>
    <t xml:space="preserve">salud mental</t>
  </si>
  <si>
    <t xml:space="preserve">T53</t>
  </si>
  <si>
    <t xml:space="preserve">T53 · Integridad y prevención de la corrupción</t>
  </si>
  <si>
    <t xml:space="preserve">Integridad y prevención de la corrupción</t>
  </si>
  <si>
    <t xml:space="preserve">16.5</t>
  </si>
  <si>
    <t xml:space="preserve">corrupción; integridad; ética pública; declaraciones juradas; jutep; lavado de activos</t>
  </si>
  <si>
    <t xml:space="preserve">corrupción</t>
  </si>
  <si>
    <t xml:space="preserve">Etiqueta</t>
  </si>
  <si>
    <t xml:space="preserve">ODS asociado</t>
  </si>
  <si>
    <t xml:space="preserve">E01</t>
  </si>
  <si>
    <t xml:space="preserve">Género</t>
  </si>
  <si>
    <t xml:space="preserve">género; mujeres; igualdad de género; brecha de género; violencia de género; violencia basada en género; feminismo; paridad; varones</t>
  </si>
  <si>
    <t xml:space="preserve">E02</t>
  </si>
  <si>
    <t xml:space="preserve">Infancia y adolescencia</t>
  </si>
  <si>
    <t xml:space="preserve">infancia; niñez; niños; niñas; adolescencia; adolescentes; primera infancia</t>
  </si>
  <si>
    <t xml:space="preserve">E03</t>
  </si>
  <si>
    <t xml:space="preserve">E03 · Juventud</t>
  </si>
  <si>
    <t xml:space="preserve">Juventud</t>
  </si>
  <si>
    <t xml:space="preserve">juventud; jóvenes; ni-ni</t>
  </si>
  <si>
    <t xml:space="preserve">E04</t>
  </si>
  <si>
    <t xml:space="preserve">Personas mayores y envejecimiento</t>
  </si>
  <si>
    <t xml:space="preserve">vejez; personas mayores; adultos mayores; envejecimiento; tercera edad</t>
  </si>
  <si>
    <t xml:space="preserve">E05</t>
  </si>
  <si>
    <t xml:space="preserve">Discapacidad</t>
  </si>
  <si>
    <t xml:space="preserve">discapacidad; personas con discapacidad; accesibilidad; inclusión</t>
  </si>
  <si>
    <t xml:space="preserve">E06</t>
  </si>
  <si>
    <t xml:space="preserve">E06 · Migración</t>
  </si>
  <si>
    <t xml:space="preserve">Migración</t>
  </si>
  <si>
    <t xml:space="preserve">migración; migrantes; población migrante</t>
  </si>
  <si>
    <t xml:space="preserve">E07</t>
  </si>
  <si>
    <t xml:space="preserve">E07 · Afrodescendencia y etnia-raza</t>
  </si>
  <si>
    <t xml:space="preserve">Afrodescendencia y etnia-raza</t>
  </si>
  <si>
    <t xml:space="preserve">afrodescendientes; afro; étnico-racial; racismo</t>
  </si>
  <si>
    <t xml:space="preserve">E08</t>
  </si>
  <si>
    <t xml:space="preserve">Enfoque de derechos</t>
  </si>
  <si>
    <t xml:space="preserve">derechos; enfoque de derechos; derechos humanos</t>
  </si>
  <si>
    <t xml:space="preserve">E09</t>
  </si>
  <si>
    <t xml:space="preserve">Territorial y subnacional</t>
  </si>
  <si>
    <t xml:space="preserve">departamental; municipal; local; frontera; subnacional; regional</t>
  </si>
  <si>
    <t xml:space="preserve">Regla de asignación</t>
  </si>
  <si>
    <t xml:space="preserve">Un enfoque transversal se asigna cuando el recurso tiene un módulo, conjunto de indicadores o línea de publicaciones dedicada al enfoque, o lo declara entre sus objetivos. La sola posibilidad de desagregar una variable (por ejemplo, por sexo) se registra en Desagregación y no habilita el enfoque.</t>
  </si>
  <si>
    <t xml:space="preserve">Nivel</t>
  </si>
  <si>
    <t xml:space="preserve">Nombre</t>
  </si>
  <si>
    <t xml:space="preserve">Definición</t>
  </si>
  <si>
    <t xml:space="preserve">Tipos de recurso asignados por defecto</t>
  </si>
  <si>
    <t xml:space="preserve">Datos</t>
  </si>
  <si>
    <t xml:space="preserve">Bases, microdatos o conjuntos de datos para procesamiento propio.</t>
  </si>
  <si>
    <t xml:space="preserve">Catálogo de datos, Catálogo institucional, Repositorio de datos, Base de datos, Portal de datos</t>
  </si>
  <si>
    <t xml:space="preserve">Indicadores y series</t>
  </si>
  <si>
    <t xml:space="preserve">Indicadores, tabulados o series ya calculados.</t>
  </si>
  <si>
    <t xml:space="preserve">Portal estadístico, Repositorio estadístico, Portal de indicadores, Portal temático, Índice compuesto</t>
  </si>
  <si>
    <t xml:space="preserve">Visualización interactiva</t>
  </si>
  <si>
    <t xml:space="preserve">Tableros, monitores, visores o mapas con consulta interactiva.</t>
  </si>
  <si>
    <t xml:space="preserve">Visualizador, Geoportal, Monitor, Módulo, Directorio de herramientas, Plataforma de comparación internacional</t>
  </si>
  <si>
    <t xml:space="preserve">Análisis e informes</t>
  </si>
  <si>
    <t xml:space="preserve">Producción interpretativa recurrente: informes, estudios, boletines con análisis.</t>
  </si>
  <si>
    <t xml:space="preserve">Observatorio, Observatorio de estudios</t>
  </si>
  <si>
    <t xml:space="preserve">Iniciativa no sumada al inventario</t>
  </si>
  <si>
    <t xml:space="preserve">Responsable / ámbito</t>
  </si>
  <si>
    <t xml:space="preserve">Motivo y verificación pendiente</t>
  </si>
  <si>
    <t xml:space="preserve">Referencia</t>
  </si>
  <si>
    <t xml:space="preserve">Observatorio de discapacidad — Uruguay sin barreras</t>
  </si>
  <si>
    <t xml:space="preserve">El plan y sus ejes prevén observatorio y visualizador. No se confirmó aquí un portal público operativo diferenciado.</t>
  </si>
  <si>
    <t xml:space="preserve">https://www.gub.uy/ministerio-desarrollo-social/uruguay-sin-barreras/ejes/datos-estadisticas</t>
  </si>
  <si>
    <t xml:space="preserve">Observatorio de derechos de personas con discapacidad</t>
  </si>
  <si>
    <t xml:space="preserve">INDDHH</t>
  </si>
  <si>
    <t xml:space="preserve">Se localizaron referencias a diseño y desarrollo; acceso público a datos no confirmado.</t>
  </si>
  <si>
    <t xml:space="preserve">https://www.gub.uy/institucion-nacional-derechos-humanos-uruguay/node/3033</t>
  </si>
  <si>
    <t xml:space="preserve">Observatorio de cooperativismo</t>
  </si>
  <si>
    <t xml:space="preserve">INACOOP</t>
  </si>
  <si>
    <t xml:space="preserve">Referencia a una propuesta; no se confirmó un monitor público operativo.</t>
  </si>
  <si>
    <t xml:space="preserve">https://www.gub.uy/agencia-uruguaya-cooperacion-internacional/comunicacion/noticias/instituciones-sociedad-civil-valoraron-acciones-del-cooperativismo-factor</t>
  </si>
  <si>
    <t xml:space="preserve">Visualizador de valorización de materiales</t>
  </si>
  <si>
    <t xml:space="preserve">Se encontró un sitio de pruebas; no se incorporó como portal de producción.</t>
  </si>
  <si>
    <t xml:space="preserve">https://cempre.stage.data.org.uy/comprador/2</t>
  </si>
  <si>
    <t xml:space="preserve">Observatorio social de la Región Este</t>
  </si>
  <si>
    <t xml:space="preserve">Ámbito regional / Udelar</t>
  </si>
  <si>
    <t xml:space="preserve">Referencia histórica a una iniciativa; continuidad y acceso actual no comprobados.</t>
  </si>
  <si>
    <t xml:space="preserve">https://www.gub.uy/presidencia/comunicacion/noticias/opp-apoya-observatorio-social-territorial-para-mejor-desarrollo-politicas</t>
  </si>
  <si>
    <t xml:space="preserve">Sistema Nacional de Investigadores — estadísticas</t>
  </si>
  <si>
    <t xml:space="preserve">Se localizaron informes de monitoreo del SNI (2008-2018); no se confirmó un tablero público actualizado con datos del sistema.</t>
  </si>
  <si>
    <t xml:space="preserve">https://anii.org.uy/upcms/files/listado-documentos/documentos/informe-de-monitoreo-sistema-nacional-de-investigadores-2008-2018.pdf</t>
  </si>
  <si>
    <t xml:space="preserve">SII-CTI — Sistema Integrado de Información de CTI</t>
  </si>
  <si>
    <t xml:space="preserve">UNE-CTI / Uruguay Innova</t>
  </si>
  <si>
    <t xml:space="preserve">Sistema en diseño e implementación; sin portal público al corte.</t>
  </si>
  <si>
    <t xml:space="preserve">Sistema de información cultural</t>
  </si>
  <si>
    <t xml:space="preserve">Compromiso de gobierno abierto sobre datos culturales (UY0186); no se confirmó un portal público operativo.</t>
  </si>
  <si>
    <t xml:space="preserve">https://www.opengovpartnership.org/es/members/uruguay/commitments/UY0186/</t>
  </si>
  <si>
    <t xml:space="preserve">Observatorio de vivienda</t>
  </si>
  <si>
    <t xml:space="preserve">MVOT</t>
  </si>
  <si>
    <t xml:space="preserve">No se localizó un observatorio o tablero propio de vivienda; parte de la información está en el Observatorio Territorial DINOT.</t>
  </si>
  <si>
    <t xml:space="preserve">Criterios del relevamiento original (02/10/2026) y criterios de clasificación agregados (08/10/2026).</t>
  </si>
  <si>
    <t xml:space="preserve">Criterios del relevamiento</t>
  </si>
  <si>
    <t xml:space="preserve">Alcance</t>
  </si>
  <si>
    <t xml:space="preserve">Relevamiento web de observatorios, monitores, portales estadísticos, catálogos, geoportales y colecciones estadísticas institucionales sobre Uruguay. Corte: 02/10/2026.</t>
  </si>
  <si>
    <t xml:space="preserve">Unidad de registro</t>
  </si>
  <si>
    <t xml:space="preserve">Cada fila es un recurso. Un portal puede tener módulos o herramientas vinculadas, identificados en la columna Portal o sistema relacionado. El total no representa portales independientes.</t>
  </si>
  <si>
    <t xml:space="preserve">Cobertura institucional</t>
  </si>
  <si>
    <t xml:space="preserve">Organismos nacionales, gobiernos departamentales, entidades públicas no estatales, universidades, cámaras, sociedad civil y algunas secciones de organismos internacionales dedicadas a Uruguay.</t>
  </si>
  <si>
    <t xml:space="preserve">Criterio de inclusión</t>
  </si>
  <si>
    <t xml:space="preserve">Información organizada para consultar indicadores, mapas, bases, series, estudios recurrentes o seguimiento institucional. Los observatorios de estudios están identificados aunque no tengan una base numérica permanente.</t>
  </si>
  <si>
    <t xml:space="preserve">Exclusiones</t>
  </si>
  <si>
    <t xml:space="preserve">No se inventariaron cada dataset del catálogo nacional, cada gráfico de un tablero, bibliotecas generales, repositorios bibliográficos ni noticias o PDF aislados como recursos independientes.</t>
  </si>
  <si>
    <t xml:space="preserve">Período de datos</t>
  </si>
  <si>
    <t xml:space="preserve">Es el período más reciente que se pudo comprobar en las fuentes consultadas. Si corresponde solo a una serie o informe, se indica. No asegura que sea el último dato de todo el portal.</t>
  </si>
  <si>
    <t xml:space="preserve">Fecha de publicación</t>
  </si>
  <si>
    <t xml:space="preserve">Campo separado de la fecha de datos. Se conserva únicamente cuando fue posible identificar una fecha exacta; las celdas vacías significan no comprobada.</t>
  </si>
  <si>
    <t xml:space="preserve">No comprobado</t>
  </si>
  <si>
    <t xml:space="preserve">No se pudo establecer un último corte fiable. No significa que el portal esté desactualizado, vacío o inactivo. No se usaron fechas de rastreo del buscador, copyright ni horizontes de metas como fecha de datos.</t>
  </si>
  <si>
    <t xml:space="preserve">Enlaces y acceso</t>
  </si>
  <si>
    <t xml:space="preserve">Se priorizó la URL directa. Cuando fue necesario se utilizó una entrada o ficha institucional con acceso a la herramienta. Localizarla no implica haber probado todos los filtros, descargas, API o funciones autenticadas.</t>
  </si>
  <si>
    <t xml:space="preserve">Fuentes</t>
  </si>
  <si>
    <t xml:space="preserve">Cada fila incluye las páginas que sustentan su incorporación y, cuando procede, el período o fecha informado. Se consultaron páginas oficiales, directorios y resultados web indexados; la evidencia tiene distinto nivel de detalle.</t>
  </si>
  <si>
    <t xml:space="preserve">Categorías y etiquetas</t>
  </si>
  <si>
    <t xml:space="preserve">Una categoría principal por fila para evitar doble conteo. Las etiquetas permiten clasificación transversal. Energía se agrupa con ambiente; trabajo, cuidados y protección social con social y salud.</t>
  </si>
  <si>
    <t xml:space="preserve">Clasificación descriptiva del responsable, no dictamen jurídico. Académico incluye universidades públicas y privadas. Dos observatorios con responsable no corroborado se marcan expresamente.</t>
  </si>
  <si>
    <t xml:space="preserve">Cobertura territorial</t>
  </si>
  <si>
    <t xml:space="preserve">Los portales nacionales suelen incluir los 19 departamentos, pero el relevamiento de portales propios de intendencias es desigual. La ausencia de una intendencia en la tabla no prueba inexistencia de herramientas.</t>
  </si>
  <si>
    <t xml:space="preserve">Límite de exhaustividad</t>
  </si>
  <si>
    <t xml:space="preserve">Inventario amplio, no censo certificado. Pueden existir tableros no indexados, alojados en intranets o publicados recientemente. Las iniciativas sin portal confirmado se separan y no suman al inventario.</t>
  </si>
  <si>
    <t xml:space="preserve">Cómo actualizar</t>
  </si>
  <si>
    <t xml:space="preserve">Abrir el recurso y sus fuentes; comprobar la última serie disponible; anotar por separado período y publicación; revisar institución, acceso y vínculo con otros portales antes de agregar una fila.</t>
  </si>
  <si>
    <t xml:space="preserve">Criterios de clasificación</t>
  </si>
  <si>
    <t xml:space="preserve">Modelo en facetas</t>
  </si>
  <si>
    <t xml:space="preserve">Cada recurso se describe con tres facetas independientes: tema sectorial (un tema principal y temas secundarios), enfoque transversal y desagregación disponible. Las facetas permiten que un mismo recurso aparezca en búsquedas de distinto tipo sin duplicar filas.</t>
  </si>
  <si>
    <t xml:space="preserve">El dominio sustantivo dominante del recurso. Determina el área, el ODS principal y el conteo de concentración. Un recurso tiene un solo tema principal.</t>
  </si>
  <si>
    <t xml:space="preserve">Temas secundarios</t>
  </si>
  <si>
    <t xml:space="preserve">Otros dominios con información relevante y visible en el recurso. Amplían el alcance de la búsqueda y del conteo de cobertura indirecta.</t>
  </si>
  <si>
    <t xml:space="preserve">Enfoque transversal</t>
  </si>
  <si>
    <t xml:space="preserve">Correspondencia ODS</t>
  </si>
  <si>
    <t xml:space="preserve">Cada tema se vincula con un ODS principal y metas de referencia. La cobertura se mide a nivel de tema y se agrega por ODS, lo que permite comparar con marcos internacionales sin perder detalle.</t>
  </si>
  <si>
    <t xml:space="preserve">Temas de referencia para vacíos</t>
  </si>
  <si>
    <t xml:space="preserve">La taxonomía incluye temas asociados a metas ODS con relevancia de política pública aunque no figuren en el inventario (pesca, inclusión financiera, salud mental, integridad). Sin esos temas de referencia el análisis no podría mostrar vacíos.</t>
  </si>
  <si>
    <t xml:space="preserve">Escala de 1 a 4 (datos, indicadores y series, visualización interactiva, análisis e informes). Se asigna por defecto según el tipo de recurso y se ajusta a 4 cuando el recurso produce informes interpretativos recurrentes. Es una clasificación provisoria a validar recurso por recurso.</t>
  </si>
  <si>
    <t xml:space="preserve">Acceso y desagregación</t>
  </si>
  <si>
    <t xml:space="preserve">Descarga, API y desagregaciones se marcan como Sí solo cuando la descripción o la fuente lo confirman. Por verificar indica ausencia de comprobación, no ausencia de la funcionalidad.</t>
  </si>
  <si>
    <t xml:space="preserve">Estados de cobertura</t>
  </si>
  <si>
    <t xml:space="preserve">Con análisis: al menos un recurso nacional de nivel 4. Sin análisis: hay recursos con el tema como principal y ninguno de nivel 4. Indirecta: el tema solo aparece como secundario. Sin cobertura: ningún recurso nacional, con o sin referencias internacionales. Alta concentración: cinco o más recursos con el tema como principal.</t>
  </si>
  <si>
    <t xml:space="preserve">Plataformas de organismos y redes internacionales con datos comparables de Uruguay. Se registran con ámbito Internacional y se cuentan aparte para no inflar la cobertura nacional.</t>
  </si>
  <si>
    <t xml:space="preserve">Capa AGESIC</t>
  </si>
  <si>
    <t xml:space="preserve">El Catálogo Nacional de Datos Abiertos se enlaza por tema mediante un término de búsqueda. El conteo automático de datasets por tema queda previsto para el sitio mediante la API pública del catálogo.</t>
  </si>
  <si>
    <t xml:space="preserve">Limitaciones del corte 08/10/2026</t>
  </si>
  <si>
    <t xml:space="preserve">La clasificación fue hecha a partir de nombre, descripción y etiquetas del relevamiento, sin abrir cada recurso. Las URL de referencias internacionales marcadas como de referencia no fueron verificadas en este corte.</t>
  </si>
  <si>
    <t xml:space="preserve">Sí/No</t>
  </si>
  <si>
    <t xml:space="preserve">No</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</si>
</sst>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1F5FA8"/>
      <name val="Arial"/>
      <family val="0"/>
      <charset val="1"/>
    </font>
    <font>
      <b val="true"/>
      <sz val="11"/>
      <color rgb="FF1F3A5F"/>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FF8E1"/>
        <bgColor rgb="FFFFEDD5"/>
      </patternFill>
    </fill>
    <fill>
      <patternFill patternType="solid">
        <fgColor rgb="FFF4F5F7"/>
        <bgColor rgb="FFFFF8E1"/>
      </patternFill>
    </fill>
  </fills>
  <borders count="2">
    <border diagonalUp="false" diagonalDown="false">
      <left/>
      <right/>
      <top/>
      <bottom/>
      <diagonal/>
    </border>
    <border diagonalUp="false" diagonalDown="false">
      <left/>
      <right/>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
      <fill>
        <patternFill patternType="solid">
          <fgColor rgb="FF1F5FA8"/>
          <bgColor rgb="FF000000"/>
        </patternFill>
      </fill>
    </dxf>
    <dxf>
      <fill>
        <patternFill patternType="solid">
          <fgColor rgb="FFF4F5F7"/>
          <bgColor rgb="FF000000"/>
        </patternFill>
      </fill>
    </dxf>
    <dxf>
      <fill>
        <patternFill patternType="solid">
          <fgColor rgb="FFB45309"/>
          <bgColor rgb="FF000000"/>
        </patternFill>
      </fill>
    </dxf>
    <dxf>
      <font>
        <color rgb="FFB45309"/>
      </font>
    </dxf>
    <dxf>
      <fill>
        <patternFill patternType="solid">
          <fgColor rgb="FFD1FAE5"/>
          <bgColor rgb="FF000000"/>
        </patternFill>
      </fill>
    </dxf>
    <dxf>
      <fill>
        <patternFill patternType="solid">
          <fgColor rgb="FFFECACA"/>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FEDD5"/>
        </patternFill>
      </fill>
    </dxf>
    <dxf>
      <fill>
        <patternFill>
          <bgColor rgb="FFFEE2E2"/>
        </patternFill>
      </fill>
    </dxf>
    <dxf>
      <fill>
        <patternFill>
          <bgColor rgb="FFFECAC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EE2E2"/>
      <rgbColor rgb="FF808080"/>
      <rgbColor rgb="FF9999FF"/>
      <rgbColor rgb="FF993366"/>
      <rgbColor rgb="FFFFF8E1"/>
      <rgbColor rgb="FFF4F5F7"/>
      <rgbColor rgb="FF660066"/>
      <rgbColor rgb="FFFF8080"/>
      <rgbColor rgb="FF1F5FA8"/>
      <rgbColor rgb="FFD0D7E2"/>
      <rgbColor rgb="FF000080"/>
      <rgbColor rgb="FFFF00FF"/>
      <rgbColor rgb="FFFFFF00"/>
      <rgbColor rgb="FF00FFFF"/>
      <rgbColor rgb="FF800080"/>
      <rgbColor rgb="FF800000"/>
      <rgbColor rgb="FF008080"/>
      <rgbColor rgb="FF0000FF"/>
      <rgbColor rgb="FF00CCFF"/>
      <rgbColor rgb="FFFFEDD5"/>
      <rgbColor rgb="FFD1FAE5"/>
      <rgbColor rgb="FFFEF3C7"/>
      <rgbColor rgb="FF99CCFF"/>
      <rgbColor rgb="FFFF99CC"/>
      <rgbColor rgb="FFCC99FF"/>
      <rgbColor rgb="FFFECACA"/>
      <rgbColor rgb="FF3366FF"/>
      <rgbColor rgb="FF33CCCC"/>
      <rgbColor rgb="FF99CC00"/>
      <rgbColor rgb="FFFFCC00"/>
      <rgbColor rgb="FFFF9900"/>
      <rgbColor rgb="FFFF6600"/>
      <rgbColor rgb="FF555555"/>
      <rgbColor rgb="FF969696"/>
      <rgbColor rgb="FF1F3A5F"/>
      <rgbColor rgb="FF339966"/>
      <rgbColor rgb="FF003300"/>
      <rgbColor rgb="FF333300"/>
      <rgbColor rgb="FFB45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gub.uy/ministerio-ganaderia-agricultura-pesca/opypa" TargetMode="External"/><Relationship Id="rId2" Type="http://schemas.openxmlformats.org/officeDocument/2006/relationships/hyperlink" Target="https://www.uruguayxxi.gub.uy/es/centro-informacion/" TargetMode="External"/><Relationship Id="rId3" Type="http://schemas.openxmlformats.org/officeDocument/2006/relationships/hyperlink" Target="https://www.inalog.org.uy/centro-de-informacion/" TargetMode="External"/><Relationship Id="rId4" Type="http://schemas.openxmlformats.org/officeDocument/2006/relationships/hyperlink" Target="https://www.gub.uy/ministerio-economia-finanzas/datos-y-estadisticas/datos" TargetMode="External"/><Relationship Id="rId5" Type="http://schemas.openxmlformats.org/officeDocument/2006/relationships/hyperlink" Target="https://www.gub.uy/ministerio-ganaderia-agricultura-pesca/diea" TargetMode="External"/><Relationship Id="rId6" Type="http://schemas.openxmlformats.org/officeDocument/2006/relationships/hyperlink" Target="https://www.aduanas.gub.uy/innovaportal/v/4239/4/innova.front/estadisticas.html" TargetMode="External"/><Relationship Id="rId7" Type="http://schemas.openxmlformats.org/officeDocument/2006/relationships/hyperlink" Target="https://www.gub.uy/unidad-reguladora-servicios-comunicaciones/tematica/servicios-telecomunicaciones" TargetMode="External"/><Relationship Id="rId8" Type="http://schemas.openxmlformats.org/officeDocument/2006/relationships/hyperlink" Target="https://www.bcu.gub.uy/Estadisticas-e-Indicadores/Paginas/default.aspx" TargetMode="External"/><Relationship Id="rId9" Type="http://schemas.openxmlformats.org/officeDocument/2006/relationships/hyperlink" Target="https://anp.com.uy/index.php/es/inicio/puertos/comerciales/montevideo/estadisticas/estadistica-por-mes-unidad-gestion-de-trafico" TargetMode="External"/><Relationship Id="rId10" Type="http://schemas.openxmlformats.org/officeDocument/2006/relationships/hyperlink" Target="https://inavi.com.uy/estadisticas/" TargetMode="External"/><Relationship Id="rId11" Type="http://schemas.openxmlformats.org/officeDocument/2006/relationships/hyperlink" Target="https://sitio.ccu.com.uy/estudios-economicos/" TargetMode="External"/><Relationship Id="rId12" Type="http://schemas.openxmlformats.org/officeDocument/2006/relationships/hyperlink" Target="https://www.gub.uy/ministerio-ganaderia-agricultura-pesca/pagina-embebida/datos-forestales" TargetMode="External"/><Relationship Id="rId13" Type="http://schemas.openxmlformats.org/officeDocument/2006/relationships/hyperlink" Target="https://www.inale.org/" TargetMode="External"/><Relationship Id="rId14" Type="http://schemas.openxmlformats.org/officeDocument/2006/relationships/hyperlink" Target="https://www.ucu.edu.uy/Institucionales/MONITOR-DE-COYUNTURA-uc1457" TargetMode="External"/><Relationship Id="rId15" Type="http://schemas.openxmlformats.org/officeDocument/2006/relationships/hyperlink" Target="https://www.uruguayxxi.gub.uy/es/centro-informacion/inversor/informes/informes-de-mensual/" TargetMode="External"/><Relationship Id="rId16" Type="http://schemas.openxmlformats.org/officeDocument/2006/relationships/hyperlink" Target="https://www.uruguayxxi.gub.uy/es/centro-informacion/monitor-macroeconomico/" TargetMode="External"/><Relationship Id="rId17" Type="http://schemas.openxmlformats.org/officeDocument/2006/relationships/hyperlink" Target="https://monitor.ande.org.uy/home.aspx" TargetMode="External"/><Relationship Id="rId18" Type="http://schemas.openxmlformats.org/officeDocument/2006/relationships/hyperlink" Target="https://www.ciu.com.uy/monitoreo-industrial/" TargetMode="External"/><Relationship Id="rId19" Type="http://schemas.openxmlformats.org/officeDocument/2006/relationships/hyperlink" Target="https://oleaginosos.org.uy/observatorio" TargetMode="External"/><Relationship Id="rId20" Type="http://schemas.openxmlformats.org/officeDocument/2006/relationships/hyperlink" Target="https://www.ucu.edu.uy/Institucionales/OBSERVATORIO-ECONOMICO-DE-SALTO-uc2511" TargetMode="External"/><Relationship Id="rId21" Type="http://schemas.openxmlformats.org/officeDocument/2006/relationships/hyperlink" Target="https://uam.com.uy/boletin-de-precios-mayoristas/" TargetMode="External"/><Relationship Id="rId22" Type="http://schemas.openxmlformats.org/officeDocument/2006/relationships/hyperlink" Target="https://observatorio.miem.gub.uy/obs/" TargetMode="External"/><Relationship Id="rId23" Type="http://schemas.openxmlformats.org/officeDocument/2006/relationships/hyperlink" Target="https://observatorioti.cuti.org.uy/" TargetMode="External"/><Relationship Id="rId24" Type="http://schemas.openxmlformats.org/officeDocument/2006/relationships/hyperlink" Target="https://www.descubrimontevideo.uy/macrodatos/" TargetMode="External"/><Relationship Id="rId25" Type="http://schemas.openxmlformats.org/officeDocument/2006/relationships/hyperlink" Target="https://turismo.gub.uy/observatorio/index.html" TargetMode="External"/><Relationship Id="rId26" Type="http://schemas.openxmlformats.org/officeDocument/2006/relationships/hyperlink" Target="https://www.inac.uy/innovaportal/v/26276/37/innova.bs/publicaciones-informes-y-series" TargetMode="External"/><Relationship Id="rId27" Type="http://schemas.openxmlformats.org/officeDocument/2006/relationships/hyperlink" Target="https://www.gub.uy/direccion-general-impositiva/datos-y-estadisticas/estadisticas/recaudacion-anual-mensual-impuesto" TargetMode="External"/><Relationship Id="rId28" Type="http://schemas.openxmlformats.org/officeDocument/2006/relationships/hyperlink" Target="https://www.mgap.gub.uy/SeriesHistoricas/hshistoricas.aspx" TargetMode="External"/><Relationship Id="rId29" Type="http://schemas.openxmlformats.org/officeDocument/2006/relationships/hyperlink" Target="https://herramientas.uruguayxxi.gub.uy/sistema_de_estadistica/" TargetMode="External"/><Relationship Id="rId30" Type="http://schemas.openxmlformats.org/officeDocument/2006/relationships/hyperlink" Target="https://www.precios.uy/" TargetMode="External"/><Relationship Id="rId31" Type="http://schemas.openxmlformats.org/officeDocument/2006/relationships/hyperlink" Target="https://www.snia.gub.uy/dibujos/arbol-de-visores" TargetMode="External"/><Relationship Id="rId32" Type="http://schemas.openxmlformats.org/officeDocument/2006/relationships/hyperlink" Target="https://dgrn.mgap.gub.uy/js/visores/dgrn/" TargetMode="External"/><Relationship Id="rId33" Type="http://schemas.openxmlformats.org/officeDocument/2006/relationships/hyperlink" Target="https://atuservicio.uy/" TargetMode="External"/><Relationship Id="rId34" Type="http://schemas.openxmlformats.org/officeDocument/2006/relationships/hyperlink" Target="https://catalogodatos.gub.uy/organization/instituto-nacional-de-empleo-y-formacion-profesional" TargetMode="External"/><Relationship Id="rId35" Type="http://schemas.openxmlformats.org/officeDocument/2006/relationships/hyperlink" Target="https://www.gub.uy/ministerio-trabajo-seguridad-social/unidad-estadistica-mtss" TargetMode="External"/><Relationship Id="rId36" Type="http://schemas.openxmlformats.org/officeDocument/2006/relationships/hyperlink" Target="https://www.gub.uy/ministerio-salud-publica/datos-y-estadisticas/estadisticas/estadisticas-vitales" TargetMode="External"/><Relationship Id="rId37" Type="http://schemas.openxmlformats.org/officeDocument/2006/relationships/hyperlink" Target="https://www.unicef.org/uruguay/infancia-en-datos" TargetMode="External"/><Relationship Id="rId38" Type="http://schemas.openxmlformats.org/officeDocument/2006/relationships/hyperlink" Target="https://www.gub.uy/ministerio-salud-publica/personal-salud" TargetMode="External"/><Relationship Id="rId39" Type="http://schemas.openxmlformats.org/officeDocument/2006/relationships/hyperlink" Target="https://www.inau.gub.uy/documentos/ano-2025" TargetMode="External"/><Relationship Id="rId40" Type="http://schemas.openxmlformats.org/officeDocument/2006/relationships/hyperlink" Target="https://www.miradordesca.uy/" TargetMode="External"/><Relationship Id="rId41" Type="http://schemas.openxmlformats.org/officeDocument/2006/relationships/hyperlink" Target="https://hospital.bse.com.uy/portal-hospital/monitor-de-accidentes-de-trabajo" TargetMode="External"/><Relationship Id="rId42" Type="http://schemas.openxmlformats.org/officeDocument/2006/relationships/hyperlink" Target="https://ircca.gub.uy/recursos-de-informacion/informes-del-mercado-regulado/" TargetMode="External"/><Relationship Id="rId43" Type="http://schemas.openxmlformats.org/officeDocument/2006/relationships/hyperlink" Target="https://observatorio.bps.gub.uy/" TargetMode="External"/><Relationship Id="rId44" Type="http://schemas.openxmlformats.org/officeDocument/2006/relationships/hyperlink" Target="https://montevidata.montevideo.gub.uy/cultura" TargetMode="External"/><Relationship Id="rId45" Type="http://schemas.openxmlformats.org/officeDocument/2006/relationships/hyperlink" Target="https://udelar.edu.uy/observatorio-genero" TargetMode="External"/><Relationship Id="rId46" Type="http://schemas.openxmlformats.org/officeDocument/2006/relationships/hyperlink" Target="https://montevidata.montevideo.gub.uy/igualdad-de-genero" TargetMode="External"/><Relationship Id="rId47" Type="http://schemas.openxmlformats.org/officeDocument/2006/relationships/hyperlink" Target="https://oia.org.uy/" TargetMode="External"/><Relationship Id="rId48" Type="http://schemas.openxmlformats.org/officeDocument/2006/relationships/hyperlink" Target="https://www.rivera.gub.uy/social/observatorio/" TargetMode="External"/><Relationship Id="rId49" Type="http://schemas.openxmlformats.org/officeDocument/2006/relationships/hyperlink" Target="https://omif.cienciassociales.edu.uy/registros-administrativos/" TargetMode="External"/><Relationship Id="rId50" Type="http://schemas.openxmlformats.org/officeDocument/2006/relationships/hyperlink" Target="https://montevidata.montevideo.gub.uy/salud" TargetMode="External"/><Relationship Id="rId51" Type="http://schemas.openxmlformats.org/officeDocument/2006/relationships/hyperlink" Target="https://www.gub.uy/ministerio-desarrollo-social/obsan" TargetMode="External"/><Relationship Id="rId52" Type="http://schemas.openxmlformats.org/officeDocument/2006/relationships/hyperlink" Target="https://www.observatorioseguridadsocial.org.uy/" TargetMode="External"/><Relationship Id="rId53" Type="http://schemas.openxmlformats.org/officeDocument/2006/relationships/hyperlink" Target="https://montevidata.montevideo.gub.uy/trabajo" TargetMode="External"/><Relationship Id="rId54" Type="http://schemas.openxmlformats.org/officeDocument/2006/relationships/hyperlink" Target="https://observatorio.bps.gub.uy/ovess/" TargetMode="External"/><Relationship Id="rId55" Type="http://schemas.openxmlformats.org/officeDocument/2006/relationships/hyperlink" Target="https://www.gub.uy/ministerio-desarrollo-social/observatorio/violencia-genero" TargetMode="External"/><Relationship Id="rId56" Type="http://schemas.openxmlformats.org/officeDocument/2006/relationships/hyperlink" Target="https://www.fder.edu.uy/oda" TargetMode="External"/><Relationship Id="rId57" Type="http://schemas.openxmlformats.org/officeDocument/2006/relationships/hyperlink" Target="https://www.nutricion.edu.uy/?page_id=6614" TargetMode="External"/><Relationship Id="rId58" Type="http://schemas.openxmlformats.org/officeDocument/2006/relationships/hyperlink" Target="https://observatoriosalud.org.uy/seccion/datos" TargetMode="External"/><Relationship Id="rId59" Type="http://schemas.openxmlformats.org/officeDocument/2006/relationships/hyperlink" Target="https://www.mysu.org.uy/que-hacemos/observatorio/" TargetMode="External"/><Relationship Id="rId60" Type="http://schemas.openxmlformats.org/officeDocument/2006/relationships/hyperlink" Target="https://www.gub.uy/ministerio-desarrollo-social/observatorio" TargetMode="External"/><Relationship Id="rId61" Type="http://schemas.openxmlformats.org/officeDocument/2006/relationships/hyperlink" Target="https://www.gub.uy/junta-nacional-drogas/observatorio-uruguayo-de-drogas" TargetMode="External"/><Relationship Id="rId62" Type="http://schemas.openxmlformats.org/officeDocument/2006/relationships/hyperlink" Target="https://observatorioenvejecimiento.psico.edu.uy/" TargetMode="External"/><Relationship Id="rId63" Type="http://schemas.openxmlformats.org/officeDocument/2006/relationships/hyperlink" Target="https://www.odismet.org/uruguay/banco-de-datos/datos-sociodemograficos" TargetMode="External"/><Relationship Id="rId64" Type="http://schemas.openxmlformats.org/officeDocument/2006/relationships/hyperlink" Target="https://www.gub.uy/ministerio-salud-publica/tematica/indicadores-desempeno-asistencial" TargetMode="External"/><Relationship Id="rId65" Type="http://schemas.openxmlformats.org/officeDocument/2006/relationships/hyperlink" Target="https://www.gub.uy/ministerio-desarrollo-social/sig" TargetMode="External"/><Relationship Id="rId66" Type="http://schemas.openxmlformats.org/officeDocument/2006/relationships/hyperlink" Target="https://www.gub.uy/ministerio-industria-energia-mineria/ben" TargetMode="External"/><Relationship Id="rId67" Type="http://schemas.openxmlformats.org/officeDocument/2006/relationships/hyperlink" Target="https://www.gub.uy/unidad-reguladora-servicios-energia-agua/datos-y-estadisticas/datos-abiertos" TargetMode="External"/><Relationship Id="rId68" Type="http://schemas.openxmlformats.org/officeDocument/2006/relationships/hyperlink" Target="https://www.ambiente.gub.uy/informacion_hidrica/datos_abiertos.php" TargetMode="External"/><Relationship Id="rId69" Type="http://schemas.openxmlformats.org/officeDocument/2006/relationships/hyperlink" Target="https://www.ambiente.gub.uy/oan/geoportal/" TargetMode="External"/><Relationship Id="rId70" Type="http://schemas.openxmlformats.org/officeDocument/2006/relationships/hyperlink" Target="https://www.inia.uy/gras/Clima" TargetMode="External"/><Relationship Id="rId71" Type="http://schemas.openxmlformats.org/officeDocument/2006/relationships/hyperlink" Target="https://www.inia.uy/gras/Monitoreo-Ambiental" TargetMode="External"/><Relationship Id="rId72" Type="http://schemas.openxmlformats.org/officeDocument/2006/relationships/hyperlink" Target="https://www.ambiente.gub.uy/oan/indicadores/" TargetMode="External"/><Relationship Id="rId73" Type="http://schemas.openxmlformats.org/officeDocument/2006/relationships/hyperlink" Target="https://www.inumet.gub.uy/" TargetMode="External"/><Relationship Id="rId74" Type="http://schemas.openxmlformats.org/officeDocument/2006/relationships/hyperlink" Target="https://adme.uy/controlpanel.php" TargetMode="External"/><Relationship Id="rId75" Type="http://schemas.openxmlformats.org/officeDocument/2006/relationships/hyperlink" Target="https://uruguay.mapbiomas.org/" TargetMode="External"/><Relationship Id="rId76" Type="http://schemas.openxmlformats.org/officeDocument/2006/relationships/hyperlink" Target="https://www.gub.uy/sistema-nacional-emergencias/politicas-y-gestion/monitor-integral-riesgos-afectaciones" TargetMode="External"/><Relationship Id="rId77" Type="http://schemas.openxmlformats.org/officeDocument/2006/relationships/hyperlink" Target="https://montevidata.montevideo.gub.uy/ambiental" TargetMode="External"/><Relationship Id="rId78" Type="http://schemas.openxmlformats.org/officeDocument/2006/relationships/hyperlink" Target="https://www.ambiente.gub.uy/oan/" TargetMode="External"/><Relationship Id="rId79" Type="http://schemas.openxmlformats.org/officeDocument/2006/relationships/hyperlink" Target="https://www.ucu.edu.uy/Institucionales/Observatorio-de-Energia-y-Desarrollo-Sustentable-uc839" TargetMode="External"/><Relationship Id="rId80" Type="http://schemas.openxmlformats.org/officeDocument/2006/relationships/hyperlink" Target="https://cempre.org.uy/observatorio-de-reciclaje-del-uruguay-cempre/" TargetMode="External"/><Relationship Id="rId81" Type="http://schemas.openxmlformats.org/officeDocument/2006/relationships/hyperlink" Target="https://www.gub.uy/ministerio-ambiente/tramites-y-servicios/servicios/observatorio-hidrologico-nacional" TargetMode="External"/><Relationship Id="rId82" Type="http://schemas.openxmlformats.org/officeDocument/2006/relationships/hyperlink" Target="https://inia.uy/gras-sigras-web" TargetMode="External"/><Relationship Id="rId83" Type="http://schemas.openxmlformats.org/officeDocument/2006/relationships/hyperlink" Target="https://catalogodatos.gub.uy/showcase/visualizador-de-objetivos-y-medidas-de-mitigacion-y-adaptacion-ante-el-cambio-climatico" TargetMode="External"/><Relationship Id="rId84" Type="http://schemas.openxmlformats.org/officeDocument/2006/relationships/hyperlink" Target="https://www.ambiente.gub.uy/visualizador/index.php?vis=cambio-climatico" TargetMode="External"/><Relationship Id="rId85" Type="http://schemas.openxmlformats.org/officeDocument/2006/relationships/hyperlink" Target="https://visualizadorben.miem.gub.uy/visualizador/api/repos/%3Apublic%3Aorganismos%3Amiem%3Amiem_ben.wcdf/generatedContent" TargetMode="External"/><Relationship Id="rId86" Type="http://schemas.openxmlformats.org/officeDocument/2006/relationships/hyperlink" Target="https://cempre.org.uy/v-e-r-visualizador-estrategico-de-residuos-3/" TargetMode="External"/><Relationship Id="rId87" Type="http://schemas.openxmlformats.org/officeDocument/2006/relationships/hyperlink" Target="https://www.ambiente.gub.uy/informacion_hidrica/" TargetMode="External"/><Relationship Id="rId88" Type="http://schemas.openxmlformats.org/officeDocument/2006/relationships/hyperlink" Target="https://visualpeb.miem.gub.uy/visualPEB/ben" TargetMode="External"/><Relationship Id="rId89" Type="http://schemas.openxmlformats.org/officeDocument/2006/relationships/hyperlink" Target="https://otu.opp.gub.uy/filtros/buscar_indicadores" TargetMode="External"/><Relationship Id="rId90" Type="http://schemas.openxmlformats.org/officeDocument/2006/relationships/hyperlink" Target="https://geoportal.mtop.gub.uy/" TargetMode="External"/><Relationship Id="rId91" Type="http://schemas.openxmlformats.org/officeDocument/2006/relationships/hyperlink" Target="https://igm.gub.uy/geoportal/listado-servicios/" TargetMode="External"/><Relationship Id="rId92" Type="http://schemas.openxmlformats.org/officeDocument/2006/relationships/hyperlink" Target="https://gis.rivera.gub.uy/" TargetMode="External"/><Relationship Id="rId93" Type="http://schemas.openxmlformats.org/officeDocument/2006/relationships/hyperlink" Target="https://geoportal.mvot.gub.uy/sitio/portal/inot" TargetMode="External"/><Relationship Id="rId94" Type="http://schemas.openxmlformats.org/officeDocument/2006/relationships/hyperlink" Target="https://otu.opp.gub.uy/mirador" TargetMode="External"/><Relationship Id="rId95" Type="http://schemas.openxmlformats.org/officeDocument/2006/relationships/hyperlink" Target="https://montevidata.montevideo.gub.uy/" TargetMode="External"/><Relationship Id="rId96" Type="http://schemas.openxmlformats.org/officeDocument/2006/relationships/hyperlink" Target="https://montevidata.montevideo.gub.uy/territorial/asentamientos" TargetMode="External"/><Relationship Id="rId97" Type="http://schemas.openxmlformats.org/officeDocument/2006/relationships/hyperlink" Target="https://montevidata.montevideo.gub.uy/movilidad" TargetMode="External"/><Relationship Id="rId98" Type="http://schemas.openxmlformats.org/officeDocument/2006/relationships/hyperlink" Target="https://montevidata.montevideo.gub.uy/objetivos-de-desarrollo-sostenible" TargetMode="External"/><Relationship Id="rId99" Type="http://schemas.openxmlformats.org/officeDocument/2006/relationships/hyperlink" Target="https://montevidata.montevideo.gub.uy/territorial" TargetMode="External"/><Relationship Id="rId100" Type="http://schemas.openxmlformats.org/officeDocument/2006/relationships/hyperlink" Target="https://sit.mvot.gub.uy/observatorio/indicadores" TargetMode="External"/><Relationship Id="rId101" Type="http://schemas.openxmlformats.org/officeDocument/2006/relationships/hyperlink" Target="https://otu.opp.gub.uy/" TargetMode="External"/><Relationship Id="rId102" Type="http://schemas.openxmlformats.org/officeDocument/2006/relationships/hyperlink" Target="https://maldonado.gub.uy/sistema-informacion-geografica" TargetMode="External"/><Relationship Id="rId103" Type="http://schemas.openxmlformats.org/officeDocument/2006/relationships/hyperlink" Target="https://sig.montevideo.gub.uy/" TargetMode="External"/><Relationship Id="rId104" Type="http://schemas.openxmlformats.org/officeDocument/2006/relationships/hyperlink" Target="https://geoportal.mvot.gub.uy/sitio/portal/sit" TargetMode="External"/><Relationship Id="rId105" Type="http://schemas.openxmlformats.org/officeDocument/2006/relationships/hyperlink" Target="https://www.imcanelones.gub.uy/conozca/departamento/sistema-de-informacion-territorial" TargetMode="External"/><Relationship Id="rId106" Type="http://schemas.openxmlformats.org/officeDocument/2006/relationships/hyperlink" Target="https://visor.catastro.gub.uy/VisorDNC" TargetMode="External"/><Relationship Id="rId107" Type="http://schemas.openxmlformats.org/officeDocument/2006/relationships/hyperlink" Target="https://www.gub.uy/secretaria-nacional-deporte/comunicacion/noticias/concluyo-primera-etapa-georreferenciacion-espacios-deportivos-snd" TargetMode="External"/><Relationship Id="rId108" Type="http://schemas.openxmlformats.org/officeDocument/2006/relationships/hyperlink" Target="https://visualizadorgeominero.dinamige.gub.uy/DINAMIGE_mvc2/" TargetMode="External"/><Relationship Id="rId109" Type="http://schemas.openxmlformats.org/officeDocument/2006/relationships/hyperlink" Target="https://visualizador.ide.uy/ideuy/core/load_public_project/ideuy/" TargetMode="External"/><Relationship Id="rId110" Type="http://schemas.openxmlformats.org/officeDocument/2006/relationships/hyperlink" Target="https://planeamiento.udelar.edu.uy/portal/publicaciones/estadisticas-basicas/" TargetMode="External"/><Relationship Id="rId111" Type="http://schemas.openxmlformats.org/officeDocument/2006/relationships/hyperlink" Target="https://www.gub.uy/ministerio-educacion-cultura/estadistica" TargetMode="External"/><Relationship Id="rId112" Type="http://schemas.openxmlformats.org/officeDocument/2006/relationships/hyperlink" Target="https://planeamiento.udelar.edu.uy/portal/forma-estudiantes/" TargetMode="External"/><Relationship Id="rId113" Type="http://schemas.openxmlformats.org/officeDocument/2006/relationships/hyperlink" Target="https://mirador.ineed.edu.uy/" TargetMode="External"/><Relationship Id="rId114" Type="http://schemas.openxmlformats.org/officeDocument/2006/relationships/hyperlink" Target="https://www.anep.edu.uy/monitorutu/servlet/com.monitorutu16.portada" TargetMode="External"/><Relationship Id="rId115" Type="http://schemas.openxmlformats.org/officeDocument/2006/relationships/hyperlink" Target="https://www.anep.edu.uy/monitor/servlet/portada" TargetMode="External"/><Relationship Id="rId116" Type="http://schemas.openxmlformats.org/officeDocument/2006/relationships/hyperlink" Target="http://servicios.ces.edu.uy/monitorces/servlet/portada" TargetMode="External"/><Relationship Id="rId117" Type="http://schemas.openxmlformats.org/officeDocument/2006/relationships/hyperlink" Target="https://observatorio.anep.edu.uy/" TargetMode="External"/><Relationship Id="rId118" Type="http://schemas.openxmlformats.org/officeDocument/2006/relationships/hyperlink" Target="https://planeamientoeducativo.utu.edu.uy/investigacion/observatorio" TargetMode="External"/><Relationship Id="rId119" Type="http://schemas.openxmlformats.org/officeDocument/2006/relationships/hyperlink" Target="https://obsymon.anep.edu.uy/inicio" TargetMode="External"/><Relationship Id="rId120" Type="http://schemas.openxmlformats.org/officeDocument/2006/relationships/hyperlink" Target="https://sig.anep.edu.uy/siganep" TargetMode="External"/><Relationship Id="rId121" Type="http://schemas.openxmlformats.org/officeDocument/2006/relationships/hyperlink" Target="https://prisma.uy/" TargetMode="External"/><Relationship Id="rId122" Type="http://schemas.openxmlformats.org/officeDocument/2006/relationships/hyperlink" Target="https://redata.anii.org.uy/" TargetMode="External"/><Relationship Id="rId123" Type="http://schemas.openxmlformats.org/officeDocument/2006/relationships/hyperlink" Target="https://www4.ine.gub.uy/Anda5/index.php/catalog" TargetMode="External"/><Relationship Id="rId124" Type="http://schemas.openxmlformats.org/officeDocument/2006/relationships/hyperlink" Target="https://ckan.montevideo.gub.uy/" TargetMode="External"/><Relationship Id="rId125" Type="http://schemas.openxmlformats.org/officeDocument/2006/relationships/hyperlink" Target="https://catalogodatos.gub.uy/" TargetMode="External"/><Relationship Id="rId126" Type="http://schemas.openxmlformats.org/officeDocument/2006/relationships/hyperlink" Target="https://www.gub.uy/instituto-nacional-estadistica/censosphv" TargetMode="External"/><Relationship Id="rId127" Type="http://schemas.openxmlformats.org/officeDocument/2006/relationships/hyperlink" Target="https://www.gub.uy/agencia-reguladora-compras-estatales/datosdecomprasp&#250;blicas" TargetMode="External"/><Relationship Id="rId128" Type="http://schemas.openxmlformats.org/officeDocument/2006/relationships/hyperlink" Target="https://www.gub.uy/corte-electoral/datos-y-estadisticas/estadisticas" TargetMode="External"/><Relationship Id="rId129" Type="http://schemas.openxmlformats.org/officeDocument/2006/relationships/hyperlink" Target="https://montevidata.montevideo.gub.uy/informacion-y-comunicacion" TargetMode="External"/><Relationship Id="rId130" Type="http://schemas.openxmlformats.org/officeDocument/2006/relationships/hyperlink" Target="https://miradordegobiernoabierto.agesic.gub.uy/" TargetMode="External"/><Relationship Id="rId131" Type="http://schemas.openxmlformats.org/officeDocument/2006/relationships/hyperlink" Target="https://observatorio.arce.gub.uy/eportal/iw_IL/web/guest/inicio" TargetMode="External"/><Relationship Id="rId132" Type="http://schemas.openxmlformats.org/officeDocument/2006/relationships/hyperlink" Target="https://www.gub.uy/oficina-nacional-servicio-civil/laboratorio-observatorio" TargetMode="External"/><Relationship Id="rId133" Type="http://schemas.openxmlformats.org/officeDocument/2006/relationships/hyperlink" Target="https://montevidata.montevideo.gub.uy/transparencia-0" TargetMode="External"/><Relationship Id="rId134" Type="http://schemas.openxmlformats.org/officeDocument/2006/relationships/hyperlink" Target="https://www.opp.gub.uy/es/ods-2026" TargetMode="External"/><Relationship Id="rId135" Type="http://schemas.openxmlformats.org/officeDocument/2006/relationships/hyperlink" Target="https://transparenciapresupuestaria.opp.gub.uy/" TargetMode="External"/><Relationship Id="rId136" Type="http://schemas.openxmlformats.org/officeDocument/2006/relationships/hyperlink" Target="https://www.gub.uy/instituto-nacional-estadistica/" TargetMode="External"/><Relationship Id="rId137" Type="http://schemas.openxmlformats.org/officeDocument/2006/relationships/hyperlink" Target="https://www.redatam.org/es/procesar-en-linea/latam/uruguay" TargetMode="External"/><Relationship Id="rId138" Type="http://schemas.openxmlformats.org/officeDocument/2006/relationships/hyperlink" Target="https://www.gub.uy/instituto-nacional-estadistica/visualizadores" TargetMode="External"/><Relationship Id="rId139" Type="http://schemas.openxmlformats.org/officeDocument/2006/relationships/hyperlink" Target="https://www.gub.uy/ministerio-interior/violencia-criminalidad" TargetMode="External"/><Relationship Id="rId140" Type="http://schemas.openxmlformats.org/officeDocument/2006/relationships/hyperlink" Target="https://www.poderjudicial.gub.uy/informacion-estadistica" TargetMode="External"/><Relationship Id="rId141" Type="http://schemas.openxmlformats.org/officeDocument/2006/relationships/hyperlink" Target="https://www.gub.uy/institucion-nacional-derechos-humanos-uruguay/tematica/observatorio-legislativo" TargetMode="External"/><Relationship Id="rId142" Type="http://schemas.openxmlformats.org/officeDocument/2006/relationships/hyperlink" Target="https://aplicacionesunasev.presidencia.gub.uy/mapas" TargetMode="External"/><Relationship Id="rId143" Type="http://schemas.openxmlformats.org/officeDocument/2006/relationships/hyperlink" Target="https://simore.mrree.gub.uy/buscador/home/" TargetMode="External"/><Relationship Id="rId144" Type="http://schemas.openxmlformats.org/officeDocument/2006/relationships/hyperlink" Target="https://www.gub.uy/fiscalia-general-nacion/comunicacion/noticias/fiscalia-presenta-nuevo-visualizador-datos" TargetMode="External"/><Relationship Id="rId145" Type="http://schemas.openxmlformats.org/officeDocument/2006/relationships/hyperlink" Target="https://observatorioseguridad.minterior.gub.uy/" TargetMode="External"/><Relationship Id="rId146" Type="http://schemas.openxmlformats.org/officeDocument/2006/relationships/hyperlink" Target="https://www.wipo.int/innovation-capabilities-navigator/" TargetMode="External"/><Relationship Id="rId147" Type="http://schemas.openxmlformats.org/officeDocument/2006/relationships/hyperlink" Target="https://www.wipo.int/edocs/gii-ranking/2025/uy.pdf" TargetMode="External"/><Relationship Id="rId148" Type="http://schemas.openxmlformats.org/officeDocument/2006/relationships/hyperlink" Target="https://www3.wipo.int/ipstats/" TargetMode="External"/><Relationship Id="rId149" Type="http://schemas.openxmlformats.org/officeDocument/2006/relationships/hyperlink" Target="https://www.ricyt.org/" TargetMode="External"/><Relationship Id="rId150" Type="http://schemas.openxmlformats.org/officeDocument/2006/relationships/hyperlink" Target="https://databrowser.uis.unesco.org/" TargetMode="External"/><Relationship Id="rId151" Type="http://schemas.openxmlformats.org/officeDocument/2006/relationships/hyperlink" Target="https://indicelatam.cl/" TargetMode="External"/><Relationship Id="rId152" Type="http://schemas.openxmlformats.org/officeDocument/2006/relationships/hyperlink" Target="https://www.scimagojr.com/countryrank.php" TargetMode="External"/><Relationship Id="rId153" Type="http://schemas.openxmlformats.org/officeDocument/2006/relationships/hyperlink" Target="https://atlas.hks.harvard.edu/" TargetMode="External"/><Relationship Id="rId154" Type="http://schemas.openxmlformats.org/officeDocument/2006/relationships/hyperlink" Target="https://www.gemconsortium.org/economy-profiles/uruguay" TargetMode="External"/><Relationship Id="rId155" Type="http://schemas.openxmlformats.org/officeDocument/2006/relationships/hyperlink" Target="https://oecd.ai/en/dashboards/countries/Uruguay" TargetMode="External"/><Relationship Id="rId156" Type="http://schemas.openxmlformats.org/officeDocument/2006/relationships/hyperlink" Target="https://data.worldbank.org/country/uruguay" TargetMode="External"/><Relationship Id="rId157" Type="http://schemas.openxmlformats.org/officeDocument/2006/relationships/hyperlink" Target="https://statistics.cepal.org/portal/cepalstat/" TargetMode="External"/><Relationship Id="rId158" Type="http://schemas.openxmlformats.org/officeDocument/2006/relationships/hyperlink" Target="https://ilostat.ilo.org/" TargetMode="External"/><Relationship Id="rId159" Type="http://schemas.openxmlformats.org/officeDocument/2006/relationships/hyperlink" Target="https://oig.cepal.org/" TargetMode="External"/><Relationship Id="rId160" Type="http://schemas.openxmlformats.org/officeDocument/2006/relationships/hyperlink" Target="https://dashboards.sdgindex.org/profiles/uruguay" TargetMode="External"/><Relationship Id="rId161" Type="http://schemas.openxmlformats.org/officeDocument/2006/relationships/hyperlink" Target="https://unstats.un.org/sdgs/dataportal" TargetMode="External"/><Relationship Id="rId162" Type="http://schemas.openxmlformats.org/officeDocument/2006/relationships/hyperlink" Target="https://www.who.int/data/gho" TargetMode="External"/><Relationship Id="rId163" Type="http://schemas.openxmlformats.org/officeDocument/2006/relationships/hyperlink" Target="https://www.fao.org/faostat/" TargetMode="External"/><Relationship Id="rId164" Type="http://schemas.openxmlformats.org/officeDocument/2006/relationships/hyperlink" Target="https://publicadministration.un.org/egovkb/" TargetMode="External"/><Relationship Id="rId165" Type="http://schemas.openxmlformats.org/officeDocument/2006/relationships/hyperlink" Target="https://datahub.itu.int/" TargetMode="External"/><Relationship Id="rId166" Type="http://schemas.openxmlformats.org/officeDocument/2006/relationships/hyperlink" Target="https://comtradeplus.un.org/" TargetMode="External"/><Relationship Id="rId167" Type="http://schemas.openxmlformats.org/officeDocument/2006/relationships/hyperlink" Target="https://www.climatewatchdata.org/countries/URY" TargetMode="External"/><Relationship Id="rId168" Type="http://schemas.openxmlformats.org/officeDocument/2006/relationships/hyperlink" Target="https://www.gub.uy/agencia-gobierno-electronico-sociedad-informacion-conocimiento/sites/agencia-gobierno-electronico-sociedad-informacion-conocimiento/files/2025-11/_Informe_EUTIC_2025.pdf" TargetMode="External"/><Relationship Id="rId169" Type="http://schemas.openxmlformats.org/officeDocument/2006/relationships/hyperlink" Target="https://www.gub.uy/sistema-cuidados/datos-y-estadisticas" TargetMode="External"/><Relationship Id="rId170" Type="http://schemas.openxmlformats.org/officeDocument/2006/relationships/hyperlink" Target="https://www.gub.uy/ministerio-industria-energia-mineria/tramites-y-servicios/servicios/base-publica-marcas-patentes" TargetMode="External"/><Relationship Id="rId17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4" t="s">
        <v>3</v>
      </c>
    </row>
    <row r="5" customFormat="false" ht="30" hidden="false" customHeight="true" outlineLevel="0" collapsed="false">
      <c r="A5" s="3" t="s">
        <v>4</v>
      </c>
      <c r="B5" s="4" t="s">
        <v>5</v>
      </c>
    </row>
    <row r="6" customFormat="false" ht="30" hidden="false" customHeight="true" outlineLevel="0" collapsed="false">
      <c r="A6" s="3" t="s">
        <v>6</v>
      </c>
      <c r="B6" s="4" t="s">
        <v>7</v>
      </c>
    </row>
    <row r="7" customFormat="false" ht="30" hidden="false" customHeight="true" outlineLevel="0" collapsed="false">
      <c r="A7" s="3" t="s">
        <v>8</v>
      </c>
      <c r="B7" s="4" t="s">
        <v>9</v>
      </c>
    </row>
    <row r="8" customFormat="false" ht="30" hidden="false" customHeight="true" outlineLevel="0" collapsed="false">
      <c r="A8" s="3" t="s">
        <v>10</v>
      </c>
      <c r="B8" s="4" t="s">
        <v>11</v>
      </c>
    </row>
    <row r="9" customFormat="false" ht="30" hidden="false" customHeight="true" outlineLevel="0" collapsed="false">
      <c r="A9" s="3" t="s">
        <v>12</v>
      </c>
      <c r="B9" s="4" t="s">
        <v>13</v>
      </c>
    </row>
    <row r="10" customFormat="false" ht="30" hidden="false" customHeight="true" outlineLevel="0" collapsed="false">
      <c r="A10" s="3" t="s">
        <v>14</v>
      </c>
      <c r="B10" s="4" t="s">
        <v>15</v>
      </c>
    </row>
    <row r="11" customFormat="false" ht="30" hidden="false" customHeight="true" outlineLevel="0" collapsed="false">
      <c r="A11" s="3" t="s">
        <v>16</v>
      </c>
      <c r="B11" s="4" t="s">
        <v>17</v>
      </c>
    </row>
    <row r="12" customFormat="false" ht="30" hidden="false" customHeight="true" outlineLevel="0" collapsed="false">
      <c r="A12" s="3" t="s">
        <v>18</v>
      </c>
      <c r="B12" s="4" t="s">
        <v>19</v>
      </c>
    </row>
    <row r="13" customFormat="false" ht="30" hidden="false" customHeight="true" outlineLevel="0" collapsed="false">
      <c r="A13" s="3" t="s">
        <v>20</v>
      </c>
      <c r="B13" s="4" t="s">
        <v>21</v>
      </c>
    </row>
    <row r="14" customFormat="false" ht="30" hidden="false" customHeight="true" outlineLevel="0" collapsed="false">
      <c r="A14" s="3" t="s">
        <v>22</v>
      </c>
      <c r="B14" s="4" t="s">
        <v>23</v>
      </c>
    </row>
    <row r="15" customFormat="false" ht="30" hidden="false" customHeight="true" outlineLevel="0" collapsed="false">
      <c r="A15" s="3" t="s">
        <v>24</v>
      </c>
      <c r="B15" s="4"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28"/>
    <col collapsed="false" customWidth="true" hidden="false" outlineLevel="0" max="4" min="4" style="0" width="13"/>
    <col collapsed="false" customWidth="true" hidden="false" outlineLevel="0" max="5" min="5" style="0" width="22"/>
    <col collapsed="false" customWidth="true" hidden="false" outlineLevel="0" max="6" min="6" style="0" width="20"/>
    <col collapsed="false" customWidth="true" hidden="false" outlineLevel="0" max="7" min="7" style="0" width="18"/>
    <col collapsed="false" customWidth="true" hidden="false" outlineLevel="0" max="8" min="8" style="0" width="55"/>
    <col collapsed="false" customWidth="true" hidden="false" outlineLevel="0" max="10" min="9" style="0" width="40"/>
    <col collapsed="false" customWidth="true" hidden="false" outlineLevel="0" max="11" min="11" style="0" width="8"/>
    <col collapsed="false" customWidth="true" hidden="false" outlineLevel="0" max="12" min="12" style="0" width="16"/>
    <col collapsed="false" customWidth="true" hidden="false" outlineLevel="0" max="13" min="13" style="0" width="18"/>
    <col collapsed="false" customWidth="true" hidden="false" outlineLevel="0" max="14" min="14" style="0" width="26"/>
    <col collapsed="false" customWidth="true" hidden="false" outlineLevel="0" max="15" min="15" style="0" width="8"/>
    <col collapsed="false" customWidth="true" hidden="false" outlineLevel="0" max="16" min="16" style="0" width="30"/>
    <col collapsed="false" customWidth="true" hidden="false" outlineLevel="0" max="17" min="17" style="0" width="24"/>
    <col collapsed="false" customWidth="true" hidden="false" outlineLevel="0" max="18" min="18" style="0" width="12"/>
    <col collapsed="false" customWidth="true" hidden="false" outlineLevel="0" max="19" min="19" style="0" width="11"/>
    <col collapsed="false" customWidth="true" hidden="false" outlineLevel="0" max="21" min="20" style="0" width="13"/>
    <col collapsed="false" customWidth="true" hidden="false" outlineLevel="0" max="22" min="22" style="0" width="22"/>
    <col collapsed="false" customWidth="true" hidden="false" outlineLevel="0" max="23" min="23" style="0" width="11"/>
    <col collapsed="false" customWidth="true" hidden="false" outlineLevel="0" max="24" min="24" style="0" width="20"/>
    <col collapsed="false" customWidth="true" hidden="false" outlineLevel="0" max="25" min="25" style="0" width="24"/>
    <col collapsed="false" customWidth="true" hidden="false" outlineLevel="0" max="27" min="26" style="0" width="40"/>
    <col collapsed="false" customWidth="true" hidden="false" outlineLevel="0" max="28" min="28" style="0" width="12"/>
    <col collapsed="false" customWidth="true" hidden="false" outlineLevel="0" max="29" min="29" style="0" width="22"/>
    <col collapsed="false" customWidth="true" hidden="false" outlineLevel="0" max="30" min="30" style="0" width="30"/>
    <col collapsed="false" customWidth="true" hidden="false" outlineLevel="0" max="31" min="31" style="0" width="18"/>
  </cols>
  <sheetData>
    <row r="1" customFormat="false" ht="31.5" hidden="false" customHeight="true" outlineLevel="0" collapsed="false">
      <c r="A1" s="5" t="s">
        <v>26</v>
      </c>
      <c r="B1" s="5" t="s">
        <v>27</v>
      </c>
      <c r="C1" s="5" t="s">
        <v>28</v>
      </c>
      <c r="D1" s="5" t="s">
        <v>29</v>
      </c>
      <c r="E1" s="5" t="s">
        <v>30</v>
      </c>
      <c r="F1" s="5" t="s">
        <v>31</v>
      </c>
      <c r="G1" s="5" t="s">
        <v>32</v>
      </c>
      <c r="H1" s="5" t="s">
        <v>33</v>
      </c>
      <c r="I1" s="5" t="s">
        <v>34</v>
      </c>
      <c r="J1" s="5" t="s">
        <v>35</v>
      </c>
      <c r="K1" s="5" t="s">
        <v>36</v>
      </c>
      <c r="L1" s="5" t="s">
        <v>37</v>
      </c>
      <c r="M1" s="5" t="s">
        <v>38</v>
      </c>
      <c r="N1" s="5" t="s">
        <v>39</v>
      </c>
      <c r="O1" s="5" t="s">
        <v>40</v>
      </c>
      <c r="P1" s="5" t="s">
        <v>41</v>
      </c>
      <c r="Q1" s="5" t="s">
        <v>42</v>
      </c>
      <c r="R1" s="5" t="s">
        <v>43</v>
      </c>
      <c r="S1" s="5" t="s">
        <v>44</v>
      </c>
      <c r="T1" s="5" t="s">
        <v>45</v>
      </c>
      <c r="U1" s="5" t="s">
        <v>46</v>
      </c>
      <c r="V1" s="5" t="s">
        <v>47</v>
      </c>
      <c r="W1" s="5" t="s">
        <v>48</v>
      </c>
      <c r="X1" s="5" t="s">
        <v>49</v>
      </c>
      <c r="Y1" s="5" t="s">
        <v>50</v>
      </c>
      <c r="Z1" s="5" t="s">
        <v>51</v>
      </c>
      <c r="AA1" s="5" t="s">
        <v>52</v>
      </c>
      <c r="AB1" s="5" t="s">
        <v>53</v>
      </c>
      <c r="AC1" s="5" t="s">
        <v>54</v>
      </c>
      <c r="AD1" s="5" t="s">
        <v>55</v>
      </c>
      <c r="AE1" s="5" t="s">
        <v>56</v>
      </c>
    </row>
    <row r="2" customFormat="false" ht="23.85" hidden="false" customHeight="false" outlineLevel="0" collapsed="false">
      <c r="A2" s="6" t="s">
        <v>57</v>
      </c>
      <c r="B2" s="4" t="s">
        <v>58</v>
      </c>
      <c r="C2" s="6" t="s">
        <v>59</v>
      </c>
      <c r="D2" s="7" t="s">
        <v>60</v>
      </c>
      <c r="E2" s="6" t="s">
        <v>61</v>
      </c>
      <c r="F2" s="6" t="s">
        <v>62</v>
      </c>
      <c r="G2" s="6" t="s">
        <v>60</v>
      </c>
      <c r="H2" s="4" t="s">
        <v>63</v>
      </c>
      <c r="I2" s="8" t="s">
        <v>64</v>
      </c>
      <c r="J2" s="7" t="s">
        <v>65</v>
      </c>
      <c r="K2" s="9" t="str">
        <f aca="false">LEFT(J2,3)</f>
        <v>T04</v>
      </c>
      <c r="L2" s="7" t="s">
        <v>66</v>
      </c>
      <c r="M2" s="9" t="str">
        <f aca="false">IF(L2="",K2,K2&amp;"; "&amp;L2)</f>
        <v>T04; T01</v>
      </c>
      <c r="N2" s="9" t="str">
        <f aca="false">INDEX('Taxonomía temas'!$D$2:$D$54,MATCH(K2,'Taxonomía temas'!$A$2:$A$54,0))</f>
        <v>Economía y producción</v>
      </c>
      <c r="O2" s="9" t="n">
        <f aca="false">INDEX('Taxonomía temas'!$F$2:$F$54,MATCH(K2,'Taxonomía temas'!$A$2:$A$54,0))</f>
        <v>2</v>
      </c>
      <c r="P2" s="7"/>
      <c r="Q2" s="7" t="s">
        <v>67</v>
      </c>
      <c r="R2" s="7" t="s">
        <v>68</v>
      </c>
      <c r="S2" s="7" t="s">
        <v>68</v>
      </c>
      <c r="T2" s="7" t="s">
        <v>68</v>
      </c>
      <c r="U2" s="7" t="s">
        <v>68</v>
      </c>
      <c r="V2" s="7" t="s">
        <v>69</v>
      </c>
      <c r="W2" s="9" t="str">
        <f aca="false">IF(V2="","No","Sí")</f>
        <v>Sí</v>
      </c>
      <c r="X2" s="6"/>
      <c r="Y2" s="6"/>
      <c r="Z2" s="6" t="s">
        <v>70</v>
      </c>
      <c r="AA2" s="6" t="s">
        <v>64</v>
      </c>
      <c r="AB2" s="6" t="s">
        <v>71</v>
      </c>
      <c r="AC2" s="6" t="s">
        <v>72</v>
      </c>
      <c r="AD2" s="6" t="s">
        <v>73</v>
      </c>
      <c r="AE2" s="6" t="s">
        <v>74</v>
      </c>
    </row>
    <row r="3" customFormat="false" ht="23.85" hidden="false" customHeight="false" outlineLevel="0" collapsed="false">
      <c r="A3" s="6" t="s">
        <v>75</v>
      </c>
      <c r="B3" s="4" t="s">
        <v>76</v>
      </c>
      <c r="C3" s="6" t="s">
        <v>77</v>
      </c>
      <c r="D3" s="7" t="s">
        <v>60</v>
      </c>
      <c r="E3" s="6" t="s">
        <v>78</v>
      </c>
      <c r="F3" s="6" t="s">
        <v>79</v>
      </c>
      <c r="G3" s="6" t="s">
        <v>60</v>
      </c>
      <c r="H3" s="4" t="s">
        <v>80</v>
      </c>
      <c r="I3" s="8" t="s">
        <v>81</v>
      </c>
      <c r="J3" s="7" t="s">
        <v>82</v>
      </c>
      <c r="K3" s="9" t="str">
        <f aca="false">LEFT(J3,3)</f>
        <v>T03</v>
      </c>
      <c r="L3" s="7" t="s">
        <v>83</v>
      </c>
      <c r="M3" s="9" t="str">
        <f aca="false">IF(L3="",K3,K3&amp;"; "&amp;L3)</f>
        <v>T03; T07</v>
      </c>
      <c r="N3" s="9" t="str">
        <f aca="false">INDEX('Taxonomía temas'!$D$2:$D$54,MATCH(K3,'Taxonomía temas'!$A$2:$A$54,0))</f>
        <v>Economía y producción</v>
      </c>
      <c r="O3" s="9" t="n">
        <f aca="false">INDEX('Taxonomía temas'!$F$2:$F$54,MATCH(K3,'Taxonomía temas'!$A$2:$A$54,0))</f>
        <v>17</v>
      </c>
      <c r="P3" s="7"/>
      <c r="Q3" s="7" t="s">
        <v>67</v>
      </c>
      <c r="R3" s="7" t="s">
        <v>68</v>
      </c>
      <c r="S3" s="7" t="s">
        <v>68</v>
      </c>
      <c r="T3" s="7" t="s">
        <v>68</v>
      </c>
      <c r="U3" s="7" t="s">
        <v>68</v>
      </c>
      <c r="V3" s="7" t="s">
        <v>84</v>
      </c>
      <c r="W3" s="9" t="str">
        <f aca="false">IF(V3="","No","Sí")</f>
        <v>Sí</v>
      </c>
      <c r="X3" s="6"/>
      <c r="Y3" s="6"/>
      <c r="Z3" s="6" t="s">
        <v>85</v>
      </c>
      <c r="AA3" s="6" t="s">
        <v>81</v>
      </c>
      <c r="AB3" s="6" t="s">
        <v>71</v>
      </c>
      <c r="AC3" s="6" t="s">
        <v>72</v>
      </c>
      <c r="AD3" s="6" t="s">
        <v>86</v>
      </c>
      <c r="AE3" s="6" t="s">
        <v>74</v>
      </c>
    </row>
    <row r="4" customFormat="false" ht="23.85" hidden="false" customHeight="false" outlineLevel="0" collapsed="false">
      <c r="A4" s="6" t="s">
        <v>87</v>
      </c>
      <c r="B4" s="4" t="s">
        <v>88</v>
      </c>
      <c r="C4" s="6" t="s">
        <v>89</v>
      </c>
      <c r="D4" s="7" t="s">
        <v>60</v>
      </c>
      <c r="E4" s="6" t="s">
        <v>78</v>
      </c>
      <c r="F4" s="6" t="s">
        <v>79</v>
      </c>
      <c r="G4" s="6" t="s">
        <v>60</v>
      </c>
      <c r="H4" s="4" t="s">
        <v>90</v>
      </c>
      <c r="I4" s="8" t="s">
        <v>91</v>
      </c>
      <c r="J4" s="7" t="s">
        <v>92</v>
      </c>
      <c r="K4" s="9" t="str">
        <f aca="false">LEFT(J4,3)</f>
        <v>T08</v>
      </c>
      <c r="L4" s="7" t="s">
        <v>93</v>
      </c>
      <c r="M4" s="9" t="str">
        <f aca="false">IF(L4="",K4,K4&amp;"; "&amp;L4)</f>
        <v>T08; T03</v>
      </c>
      <c r="N4" s="9" t="str">
        <f aca="false">INDEX('Taxonomía temas'!$D$2:$D$54,MATCH(K4,'Taxonomía temas'!$A$2:$A$54,0))</f>
        <v>Economía y producción</v>
      </c>
      <c r="O4" s="9" t="n">
        <f aca="false">INDEX('Taxonomía temas'!$F$2:$F$54,MATCH(K4,'Taxonomía temas'!$A$2:$A$54,0))</f>
        <v>9</v>
      </c>
      <c r="P4" s="7"/>
      <c r="Q4" s="7" t="s">
        <v>94</v>
      </c>
      <c r="R4" s="7" t="s">
        <v>68</v>
      </c>
      <c r="S4" s="7" t="s">
        <v>68</v>
      </c>
      <c r="T4" s="7" t="s">
        <v>68</v>
      </c>
      <c r="U4" s="7" t="s">
        <v>68</v>
      </c>
      <c r="V4" s="7"/>
      <c r="W4" s="9" t="str">
        <f aca="false">IF(V4="","No","Sí")</f>
        <v>No</v>
      </c>
      <c r="X4" s="6"/>
      <c r="Y4" s="6"/>
      <c r="Z4" s="6" t="s">
        <v>95</v>
      </c>
      <c r="AA4" s="6" t="s">
        <v>91</v>
      </c>
      <c r="AB4" s="6" t="s">
        <v>71</v>
      </c>
      <c r="AC4" s="6" t="s">
        <v>72</v>
      </c>
      <c r="AD4" s="6" t="s">
        <v>96</v>
      </c>
      <c r="AE4" s="6" t="s">
        <v>74</v>
      </c>
    </row>
    <row r="5" customFormat="false" ht="23.85" hidden="false" customHeight="false" outlineLevel="0" collapsed="false">
      <c r="A5" s="6" t="s">
        <v>97</v>
      </c>
      <c r="B5" s="4" t="s">
        <v>98</v>
      </c>
      <c r="C5" s="6" t="s">
        <v>99</v>
      </c>
      <c r="D5" s="7" t="s">
        <v>60</v>
      </c>
      <c r="E5" s="6" t="s">
        <v>61</v>
      </c>
      <c r="F5" s="6" t="s">
        <v>79</v>
      </c>
      <c r="G5" s="6" t="s">
        <v>60</v>
      </c>
      <c r="H5" s="4" t="s">
        <v>100</v>
      </c>
      <c r="I5" s="8" t="s">
        <v>101</v>
      </c>
      <c r="J5" s="7" t="s">
        <v>102</v>
      </c>
      <c r="K5" s="9" t="str">
        <f aca="false">LEFT(J5,3)</f>
        <v>T02</v>
      </c>
      <c r="L5" s="7" t="s">
        <v>66</v>
      </c>
      <c r="M5" s="9" t="str">
        <f aca="false">IF(L5="",K5,K5&amp;"; "&amp;L5)</f>
        <v>T02; T01</v>
      </c>
      <c r="N5" s="9" t="str">
        <f aca="false">INDEX('Taxonomía temas'!$D$2:$D$54,MATCH(K5,'Taxonomía temas'!$A$2:$A$54,0))</f>
        <v>Economía y producción</v>
      </c>
      <c r="O5" s="9" t="n">
        <f aca="false">INDEX('Taxonomía temas'!$F$2:$F$54,MATCH(K5,'Taxonomía temas'!$A$2:$A$54,0))</f>
        <v>17</v>
      </c>
      <c r="P5" s="7"/>
      <c r="Q5" s="7" t="s">
        <v>94</v>
      </c>
      <c r="R5" s="7" t="s">
        <v>68</v>
      </c>
      <c r="S5" s="7" t="s">
        <v>68</v>
      </c>
      <c r="T5" s="7" t="s">
        <v>68</v>
      </c>
      <c r="U5" s="7" t="s">
        <v>68</v>
      </c>
      <c r="V5" s="7" t="s">
        <v>103</v>
      </c>
      <c r="W5" s="9" t="str">
        <f aca="false">IF(V5="","No","Sí")</f>
        <v>Sí</v>
      </c>
      <c r="X5" s="6"/>
      <c r="Y5" s="6"/>
      <c r="Z5" s="6" t="s">
        <v>104</v>
      </c>
      <c r="AA5" s="4" t="s">
        <v>105</v>
      </c>
      <c r="AB5" s="6" t="s">
        <v>71</v>
      </c>
      <c r="AC5" s="6" t="s">
        <v>72</v>
      </c>
      <c r="AD5" s="6" t="s">
        <v>106</v>
      </c>
      <c r="AE5" s="6" t="s">
        <v>74</v>
      </c>
    </row>
    <row r="6" customFormat="false" ht="23.85" hidden="false" customHeight="false" outlineLevel="0" collapsed="false">
      <c r="A6" s="6" t="s">
        <v>107</v>
      </c>
      <c r="B6" s="4" t="s">
        <v>108</v>
      </c>
      <c r="C6" s="6" t="s">
        <v>109</v>
      </c>
      <c r="D6" s="7" t="s">
        <v>60</v>
      </c>
      <c r="E6" s="6" t="s">
        <v>61</v>
      </c>
      <c r="F6" s="6" t="s">
        <v>79</v>
      </c>
      <c r="G6" s="6" t="s">
        <v>110</v>
      </c>
      <c r="H6" s="4" t="s">
        <v>111</v>
      </c>
      <c r="I6" s="8" t="s">
        <v>112</v>
      </c>
      <c r="J6" s="7" t="s">
        <v>65</v>
      </c>
      <c r="K6" s="9" t="str">
        <f aca="false">LEFT(J6,3)</f>
        <v>T04</v>
      </c>
      <c r="L6" s="7"/>
      <c r="M6" s="9" t="str">
        <f aca="false">IF(L6="",K6,K6&amp;"; "&amp;L6)</f>
        <v>T04</v>
      </c>
      <c r="N6" s="9" t="str">
        <f aca="false">INDEX('Taxonomía temas'!$D$2:$D$54,MATCH(K6,'Taxonomía temas'!$A$2:$A$54,0))</f>
        <v>Economía y producción</v>
      </c>
      <c r="O6" s="9" t="n">
        <f aca="false">INDEX('Taxonomía temas'!$F$2:$F$54,MATCH(K6,'Taxonomía temas'!$A$2:$A$54,0))</f>
        <v>2</v>
      </c>
      <c r="P6" s="7"/>
      <c r="Q6" s="7" t="s">
        <v>94</v>
      </c>
      <c r="R6" s="7" t="s">
        <v>68</v>
      </c>
      <c r="S6" s="7" t="s">
        <v>68</v>
      </c>
      <c r="T6" s="7" t="s">
        <v>68</v>
      </c>
      <c r="U6" s="7" t="s">
        <v>68</v>
      </c>
      <c r="V6" s="7" t="s">
        <v>113</v>
      </c>
      <c r="W6" s="9" t="str">
        <f aca="false">IF(V6="","No","Sí")</f>
        <v>Sí</v>
      </c>
      <c r="X6" s="6" t="s">
        <v>114</v>
      </c>
      <c r="Y6" s="6"/>
      <c r="Z6" s="6" t="s">
        <v>115</v>
      </c>
      <c r="AA6" s="6" t="s">
        <v>112</v>
      </c>
      <c r="AB6" s="6" t="s">
        <v>71</v>
      </c>
      <c r="AC6" s="6" t="s">
        <v>72</v>
      </c>
      <c r="AD6" s="6" t="s">
        <v>116</v>
      </c>
      <c r="AE6" s="6" t="s">
        <v>74</v>
      </c>
    </row>
    <row r="7" customFormat="false" ht="23.85" hidden="false" customHeight="false" outlineLevel="0" collapsed="false">
      <c r="A7" s="6" t="s">
        <v>117</v>
      </c>
      <c r="B7" s="4" t="s">
        <v>118</v>
      </c>
      <c r="C7" s="6" t="s">
        <v>119</v>
      </c>
      <c r="D7" s="7" t="s">
        <v>60</v>
      </c>
      <c r="E7" s="6" t="s">
        <v>61</v>
      </c>
      <c r="F7" s="6" t="s">
        <v>79</v>
      </c>
      <c r="G7" s="6" t="s">
        <v>60</v>
      </c>
      <c r="H7" s="4" t="s">
        <v>120</v>
      </c>
      <c r="I7" s="8" t="s">
        <v>121</v>
      </c>
      <c r="J7" s="7" t="s">
        <v>82</v>
      </c>
      <c r="K7" s="9" t="str">
        <f aca="false">LEFT(J7,3)</f>
        <v>T03</v>
      </c>
      <c r="L7" s="7"/>
      <c r="M7" s="9" t="str">
        <f aca="false">IF(L7="",K7,K7&amp;"; "&amp;L7)</f>
        <v>T03</v>
      </c>
      <c r="N7" s="9" t="str">
        <f aca="false">INDEX('Taxonomía temas'!$D$2:$D$54,MATCH(K7,'Taxonomía temas'!$A$2:$A$54,0))</f>
        <v>Economía y producción</v>
      </c>
      <c r="O7" s="9" t="n">
        <f aca="false">INDEX('Taxonomía temas'!$F$2:$F$54,MATCH(K7,'Taxonomía temas'!$A$2:$A$54,0))</f>
        <v>17</v>
      </c>
      <c r="P7" s="7"/>
      <c r="Q7" s="7" t="s">
        <v>94</v>
      </c>
      <c r="R7" s="7" t="s">
        <v>68</v>
      </c>
      <c r="S7" s="7" t="s">
        <v>68</v>
      </c>
      <c r="T7" s="7" t="s">
        <v>68</v>
      </c>
      <c r="U7" s="7" t="s">
        <v>68</v>
      </c>
      <c r="V7" s="7"/>
      <c r="W7" s="9" t="str">
        <f aca="false">IF(V7="","No","Sí")</f>
        <v>No</v>
      </c>
      <c r="X7" s="6"/>
      <c r="Y7" s="6"/>
      <c r="Z7" s="6" t="s">
        <v>122</v>
      </c>
      <c r="AA7" s="6" t="s">
        <v>121</v>
      </c>
      <c r="AB7" s="6" t="s">
        <v>71</v>
      </c>
      <c r="AC7" s="6" t="s">
        <v>72</v>
      </c>
      <c r="AD7" s="6" t="s">
        <v>123</v>
      </c>
      <c r="AE7" s="6" t="s">
        <v>74</v>
      </c>
    </row>
    <row r="8" customFormat="false" ht="15" hidden="false" customHeight="false" outlineLevel="0" collapsed="false">
      <c r="A8" s="6" t="s">
        <v>124</v>
      </c>
      <c r="B8" s="4" t="s">
        <v>125</v>
      </c>
      <c r="C8" s="6" t="s">
        <v>126</v>
      </c>
      <c r="D8" s="7" t="s">
        <v>60</v>
      </c>
      <c r="E8" s="6" t="s">
        <v>61</v>
      </c>
      <c r="F8" s="6" t="s">
        <v>79</v>
      </c>
      <c r="G8" s="6" t="s">
        <v>60</v>
      </c>
      <c r="H8" s="4" t="s">
        <v>127</v>
      </c>
      <c r="I8" s="8" t="s">
        <v>128</v>
      </c>
      <c r="J8" s="7" t="s">
        <v>129</v>
      </c>
      <c r="K8" s="9" t="str">
        <f aca="false">LEFT(J8,3)</f>
        <v>T10</v>
      </c>
      <c r="L8" s="7"/>
      <c r="M8" s="9" t="str">
        <f aca="false">IF(L8="",K8,K8&amp;"; "&amp;L8)</f>
        <v>T10</v>
      </c>
      <c r="N8" s="9" t="str">
        <f aca="false">INDEX('Taxonomía temas'!$D$2:$D$54,MATCH(K8,'Taxonomía temas'!$A$2:$A$54,0))</f>
        <v>Ciencia, tecnología e innovación</v>
      </c>
      <c r="O8" s="9" t="n">
        <f aca="false">INDEX('Taxonomía temas'!$F$2:$F$54,MATCH(K8,'Taxonomía temas'!$A$2:$A$54,0))</f>
        <v>9</v>
      </c>
      <c r="P8" s="7"/>
      <c r="Q8" s="7" t="s">
        <v>94</v>
      </c>
      <c r="R8" s="7" t="s">
        <v>68</v>
      </c>
      <c r="S8" s="7" t="s">
        <v>68</v>
      </c>
      <c r="T8" s="7" t="s">
        <v>68</v>
      </c>
      <c r="U8" s="7" t="s">
        <v>68</v>
      </c>
      <c r="V8" s="7" t="s">
        <v>130</v>
      </c>
      <c r="W8" s="9" t="str">
        <f aca="false">IF(V8="","No","Sí")</f>
        <v>Sí</v>
      </c>
      <c r="X8" s="6" t="s">
        <v>131</v>
      </c>
      <c r="Y8" s="6"/>
      <c r="Z8" s="6" t="s">
        <v>132</v>
      </c>
      <c r="AA8" s="6" t="s">
        <v>128</v>
      </c>
      <c r="AB8" s="6" t="s">
        <v>71</v>
      </c>
      <c r="AC8" s="6" t="s">
        <v>72</v>
      </c>
      <c r="AD8" s="6" t="s">
        <v>133</v>
      </c>
      <c r="AE8" s="6" t="s">
        <v>74</v>
      </c>
    </row>
    <row r="9" customFormat="false" ht="23.85" hidden="false" customHeight="false" outlineLevel="0" collapsed="false">
      <c r="A9" s="6" t="s">
        <v>134</v>
      </c>
      <c r="B9" s="4" t="s">
        <v>135</v>
      </c>
      <c r="C9" s="6" t="s">
        <v>136</v>
      </c>
      <c r="D9" s="7" t="s">
        <v>60</v>
      </c>
      <c r="E9" s="6" t="s">
        <v>61</v>
      </c>
      <c r="F9" s="6" t="s">
        <v>79</v>
      </c>
      <c r="G9" s="6" t="s">
        <v>60</v>
      </c>
      <c r="H9" s="4" t="s">
        <v>137</v>
      </c>
      <c r="I9" s="8" t="s">
        <v>138</v>
      </c>
      <c r="J9" s="7" t="s">
        <v>139</v>
      </c>
      <c r="K9" s="9" t="str">
        <f aca="false">LEFT(J9,3)</f>
        <v>T01</v>
      </c>
      <c r="L9" s="7" t="s">
        <v>93</v>
      </c>
      <c r="M9" s="9" t="str">
        <f aca="false">IF(L9="",K9,K9&amp;"; "&amp;L9)</f>
        <v>T01; T03</v>
      </c>
      <c r="N9" s="9" t="str">
        <f aca="false">INDEX('Taxonomía temas'!$D$2:$D$54,MATCH(K9,'Taxonomía temas'!$A$2:$A$54,0))</f>
        <v>Economía y producción</v>
      </c>
      <c r="O9" s="9" t="n">
        <f aca="false">INDEX('Taxonomía temas'!$F$2:$F$54,MATCH(K9,'Taxonomía temas'!$A$2:$A$54,0))</f>
        <v>8</v>
      </c>
      <c r="P9" s="7"/>
      <c r="Q9" s="7" t="s">
        <v>94</v>
      </c>
      <c r="R9" s="7" t="s">
        <v>68</v>
      </c>
      <c r="S9" s="7" t="s">
        <v>68</v>
      </c>
      <c r="T9" s="7" t="s">
        <v>68</v>
      </c>
      <c r="U9" s="7" t="s">
        <v>68</v>
      </c>
      <c r="V9" s="7" t="s">
        <v>140</v>
      </c>
      <c r="W9" s="9" t="str">
        <f aca="false">IF(V9="","No","Sí")</f>
        <v>Sí</v>
      </c>
      <c r="X9" s="6"/>
      <c r="Y9" s="6"/>
      <c r="Z9" s="6" t="s">
        <v>141</v>
      </c>
      <c r="AA9" s="6" t="s">
        <v>138</v>
      </c>
      <c r="AB9" s="6" t="s">
        <v>71</v>
      </c>
      <c r="AC9" s="6" t="s">
        <v>72</v>
      </c>
      <c r="AD9" s="6" t="s">
        <v>142</v>
      </c>
      <c r="AE9" s="6" t="s">
        <v>74</v>
      </c>
    </row>
    <row r="10" customFormat="false" ht="15" hidden="false" customHeight="false" outlineLevel="0" collapsed="false">
      <c r="A10" s="6" t="s">
        <v>143</v>
      </c>
      <c r="B10" s="4" t="s">
        <v>144</v>
      </c>
      <c r="C10" s="6" t="s">
        <v>145</v>
      </c>
      <c r="D10" s="7" t="s">
        <v>60</v>
      </c>
      <c r="E10" s="6" t="s">
        <v>61</v>
      </c>
      <c r="F10" s="6" t="s">
        <v>62</v>
      </c>
      <c r="G10" s="6" t="s">
        <v>146</v>
      </c>
      <c r="H10" s="4" t="s">
        <v>147</v>
      </c>
      <c r="I10" s="8" t="s">
        <v>148</v>
      </c>
      <c r="J10" s="7" t="s">
        <v>92</v>
      </c>
      <c r="K10" s="9" t="str">
        <f aca="false">LEFT(J10,3)</f>
        <v>T08</v>
      </c>
      <c r="L10" s="7" t="s">
        <v>93</v>
      </c>
      <c r="M10" s="9" t="str">
        <f aca="false">IF(L10="",K10,K10&amp;"; "&amp;L10)</f>
        <v>T08; T03</v>
      </c>
      <c r="N10" s="9" t="str">
        <f aca="false">INDEX('Taxonomía temas'!$D$2:$D$54,MATCH(K10,'Taxonomía temas'!$A$2:$A$54,0))</f>
        <v>Economía y producción</v>
      </c>
      <c r="O10" s="9" t="n">
        <f aca="false">INDEX('Taxonomía temas'!$F$2:$F$54,MATCH(K10,'Taxonomía temas'!$A$2:$A$54,0))</f>
        <v>9</v>
      </c>
      <c r="P10" s="7"/>
      <c r="Q10" s="7" t="s">
        <v>94</v>
      </c>
      <c r="R10" s="7" t="s">
        <v>68</v>
      </c>
      <c r="S10" s="7" t="s">
        <v>68</v>
      </c>
      <c r="T10" s="7" t="s">
        <v>68</v>
      </c>
      <c r="U10" s="7" t="s">
        <v>68</v>
      </c>
      <c r="V10" s="7" t="s">
        <v>149</v>
      </c>
      <c r="W10" s="9" t="str">
        <f aca="false">IF(V10="","No","Sí")</f>
        <v>Sí</v>
      </c>
      <c r="X10" s="6"/>
      <c r="Y10" s="6"/>
      <c r="Z10" s="6" t="s">
        <v>150</v>
      </c>
      <c r="AA10" s="6" t="s">
        <v>148</v>
      </c>
      <c r="AB10" s="6" t="s">
        <v>71</v>
      </c>
      <c r="AC10" s="6" t="s">
        <v>72</v>
      </c>
      <c r="AD10" s="6" t="s">
        <v>151</v>
      </c>
      <c r="AE10" s="6" t="s">
        <v>74</v>
      </c>
    </row>
    <row r="11" customFormat="false" ht="23.85" hidden="false" customHeight="false" outlineLevel="0" collapsed="false">
      <c r="A11" s="6" t="s">
        <v>152</v>
      </c>
      <c r="B11" s="4" t="s">
        <v>153</v>
      </c>
      <c r="C11" s="6" t="s">
        <v>154</v>
      </c>
      <c r="D11" s="7" t="s">
        <v>60</v>
      </c>
      <c r="E11" s="6" t="s">
        <v>78</v>
      </c>
      <c r="F11" s="6" t="s">
        <v>79</v>
      </c>
      <c r="G11" s="6" t="s">
        <v>60</v>
      </c>
      <c r="H11" s="4" t="s">
        <v>155</v>
      </c>
      <c r="I11" s="8" t="s">
        <v>156</v>
      </c>
      <c r="J11" s="7" t="s">
        <v>65</v>
      </c>
      <c r="K11" s="9" t="str">
        <f aca="false">LEFT(J11,3)</f>
        <v>T04</v>
      </c>
      <c r="L11" s="7" t="s">
        <v>93</v>
      </c>
      <c r="M11" s="9" t="str">
        <f aca="false">IF(L11="",K11,K11&amp;"; "&amp;L11)</f>
        <v>T04; T03</v>
      </c>
      <c r="N11" s="9" t="str">
        <f aca="false">INDEX('Taxonomía temas'!$D$2:$D$54,MATCH(K11,'Taxonomía temas'!$A$2:$A$54,0))</f>
        <v>Economía y producción</v>
      </c>
      <c r="O11" s="9" t="n">
        <f aca="false">INDEX('Taxonomía temas'!$F$2:$F$54,MATCH(K11,'Taxonomía temas'!$A$2:$A$54,0))</f>
        <v>2</v>
      </c>
      <c r="P11" s="7"/>
      <c r="Q11" s="7" t="s">
        <v>94</v>
      </c>
      <c r="R11" s="7" t="s">
        <v>68</v>
      </c>
      <c r="S11" s="7" t="s">
        <v>68</v>
      </c>
      <c r="T11" s="7" t="s">
        <v>68</v>
      </c>
      <c r="U11" s="7" t="s">
        <v>68</v>
      </c>
      <c r="V11" s="7"/>
      <c r="W11" s="9" t="str">
        <f aca="false">IF(V11="","No","Sí")</f>
        <v>No</v>
      </c>
      <c r="X11" s="6"/>
      <c r="Y11" s="6"/>
      <c r="Z11" s="6" t="s">
        <v>157</v>
      </c>
      <c r="AA11" s="6" t="s">
        <v>156</v>
      </c>
      <c r="AB11" s="6" t="s">
        <v>71</v>
      </c>
      <c r="AC11" s="6" t="s">
        <v>72</v>
      </c>
      <c r="AD11" s="6" t="s">
        <v>158</v>
      </c>
      <c r="AE11" s="6" t="s">
        <v>74</v>
      </c>
    </row>
    <row r="12" customFormat="false" ht="23.85" hidden="false" customHeight="false" outlineLevel="0" collapsed="false">
      <c r="A12" s="6" t="s">
        <v>159</v>
      </c>
      <c r="B12" s="4" t="s">
        <v>160</v>
      </c>
      <c r="C12" s="6" t="s">
        <v>161</v>
      </c>
      <c r="D12" s="7" t="s">
        <v>60</v>
      </c>
      <c r="E12" s="6" t="s">
        <v>162</v>
      </c>
      <c r="F12" s="6" t="s">
        <v>62</v>
      </c>
      <c r="G12" s="6" t="s">
        <v>60</v>
      </c>
      <c r="H12" s="4" t="s">
        <v>163</v>
      </c>
      <c r="I12" s="8" t="s">
        <v>164</v>
      </c>
      <c r="J12" s="7" t="s">
        <v>165</v>
      </c>
      <c r="K12" s="9" t="str">
        <f aca="false">LEFT(J12,3)</f>
        <v>T09</v>
      </c>
      <c r="L12" s="7" t="s">
        <v>166</v>
      </c>
      <c r="M12" s="9" t="str">
        <f aca="false">IF(L12="",K12,K12&amp;"; "&amp;L12)</f>
        <v>T09; T14</v>
      </c>
      <c r="N12" s="9" t="str">
        <f aca="false">INDEX('Taxonomía temas'!$D$2:$D$54,MATCH(K12,'Taxonomía temas'!$A$2:$A$54,0))</f>
        <v>Economía y producción</v>
      </c>
      <c r="O12" s="9" t="n">
        <f aca="false">INDEX('Taxonomía temas'!$F$2:$F$54,MATCH(K12,'Taxonomía temas'!$A$2:$A$54,0))</f>
        <v>12</v>
      </c>
      <c r="P12" s="7"/>
      <c r="Q12" s="7" t="s">
        <v>67</v>
      </c>
      <c r="R12" s="7" t="s">
        <v>68</v>
      </c>
      <c r="S12" s="7" t="s">
        <v>68</v>
      </c>
      <c r="T12" s="7" t="s">
        <v>68</v>
      </c>
      <c r="U12" s="7" t="s">
        <v>68</v>
      </c>
      <c r="V12" s="7" t="s">
        <v>167</v>
      </c>
      <c r="W12" s="9" t="str">
        <f aca="false">IF(V12="","No","Sí")</f>
        <v>Sí</v>
      </c>
      <c r="X12" s="6"/>
      <c r="Y12" s="6"/>
      <c r="Z12" s="6" t="s">
        <v>168</v>
      </c>
      <c r="AA12" s="4" t="s">
        <v>169</v>
      </c>
      <c r="AB12" s="6" t="s">
        <v>71</v>
      </c>
      <c r="AC12" s="6" t="s">
        <v>72</v>
      </c>
      <c r="AD12" s="6" t="s">
        <v>170</v>
      </c>
      <c r="AE12" s="6" t="s">
        <v>74</v>
      </c>
    </row>
    <row r="13" customFormat="false" ht="23.85" hidden="false" customHeight="false" outlineLevel="0" collapsed="false">
      <c r="A13" s="6" t="s">
        <v>171</v>
      </c>
      <c r="B13" s="4" t="s">
        <v>172</v>
      </c>
      <c r="C13" s="6" t="s">
        <v>173</v>
      </c>
      <c r="D13" s="7" t="s">
        <v>60</v>
      </c>
      <c r="E13" s="6" t="s">
        <v>61</v>
      </c>
      <c r="F13" s="6" t="s">
        <v>174</v>
      </c>
      <c r="G13" s="6" t="s">
        <v>110</v>
      </c>
      <c r="H13" s="4" t="s">
        <v>175</v>
      </c>
      <c r="I13" s="8" t="s">
        <v>176</v>
      </c>
      <c r="J13" s="7" t="s">
        <v>65</v>
      </c>
      <c r="K13" s="9" t="str">
        <f aca="false">LEFT(J13,3)</f>
        <v>T04</v>
      </c>
      <c r="L13" s="7" t="s">
        <v>93</v>
      </c>
      <c r="M13" s="9" t="str">
        <f aca="false">IF(L13="",K13,K13&amp;"; "&amp;L13)</f>
        <v>T04; T03</v>
      </c>
      <c r="N13" s="9" t="str">
        <f aca="false">INDEX('Taxonomía temas'!$D$2:$D$54,MATCH(K13,'Taxonomía temas'!$A$2:$A$54,0))</f>
        <v>Economía y producción</v>
      </c>
      <c r="O13" s="9" t="n">
        <f aca="false">INDEX('Taxonomía temas'!$F$2:$F$54,MATCH(K13,'Taxonomía temas'!$A$2:$A$54,0))</f>
        <v>2</v>
      </c>
      <c r="P13" s="7"/>
      <c r="Q13" s="7" t="s">
        <v>177</v>
      </c>
      <c r="R13" s="7" t="s">
        <v>68</v>
      </c>
      <c r="S13" s="7" t="s">
        <v>68</v>
      </c>
      <c r="T13" s="7" t="s">
        <v>68</v>
      </c>
      <c r="U13" s="7" t="s">
        <v>68</v>
      </c>
      <c r="V13" s="7" t="s">
        <v>178</v>
      </c>
      <c r="W13" s="9" t="str">
        <f aca="false">IF(V13="","No","Sí")</f>
        <v>Sí</v>
      </c>
      <c r="X13" s="6" t="s">
        <v>179</v>
      </c>
      <c r="Y13" s="6"/>
      <c r="Z13" s="6" t="s">
        <v>180</v>
      </c>
      <c r="AA13" s="4" t="s">
        <v>181</v>
      </c>
      <c r="AB13" s="6" t="s">
        <v>71</v>
      </c>
      <c r="AC13" s="6" t="s">
        <v>72</v>
      </c>
      <c r="AD13" s="6" t="s">
        <v>182</v>
      </c>
      <c r="AE13" s="6" t="s">
        <v>74</v>
      </c>
    </row>
    <row r="14" customFormat="false" ht="23.85" hidden="false" customHeight="false" outlineLevel="0" collapsed="false">
      <c r="A14" s="6" t="s">
        <v>183</v>
      </c>
      <c r="B14" s="4" t="s">
        <v>184</v>
      </c>
      <c r="C14" s="6" t="s">
        <v>185</v>
      </c>
      <c r="D14" s="7" t="s">
        <v>60</v>
      </c>
      <c r="E14" s="6" t="s">
        <v>78</v>
      </c>
      <c r="F14" s="6" t="s">
        <v>79</v>
      </c>
      <c r="G14" s="6" t="s">
        <v>60</v>
      </c>
      <c r="H14" s="4" t="s">
        <v>186</v>
      </c>
      <c r="I14" s="8" t="s">
        <v>187</v>
      </c>
      <c r="J14" s="7" t="s">
        <v>65</v>
      </c>
      <c r="K14" s="9" t="str">
        <f aca="false">LEFT(J14,3)</f>
        <v>T04</v>
      </c>
      <c r="L14" s="7" t="s">
        <v>93</v>
      </c>
      <c r="M14" s="9" t="str">
        <f aca="false">IF(L14="",K14,K14&amp;"; "&amp;L14)</f>
        <v>T04; T03</v>
      </c>
      <c r="N14" s="9" t="str">
        <f aca="false">INDEX('Taxonomía temas'!$D$2:$D$54,MATCH(K14,'Taxonomía temas'!$A$2:$A$54,0))</f>
        <v>Economía y producción</v>
      </c>
      <c r="O14" s="9" t="n">
        <f aca="false">INDEX('Taxonomía temas'!$F$2:$F$54,MATCH(K14,'Taxonomía temas'!$A$2:$A$54,0))</f>
        <v>2</v>
      </c>
      <c r="P14" s="7"/>
      <c r="Q14" s="7" t="s">
        <v>94</v>
      </c>
      <c r="R14" s="7" t="s">
        <v>68</v>
      </c>
      <c r="S14" s="7" t="s">
        <v>68</v>
      </c>
      <c r="T14" s="7" t="s">
        <v>68</v>
      </c>
      <c r="U14" s="7" t="s">
        <v>68</v>
      </c>
      <c r="V14" s="7" t="s">
        <v>188</v>
      </c>
      <c r="W14" s="9" t="str">
        <f aca="false">IF(V14="","No","Sí")</f>
        <v>Sí</v>
      </c>
      <c r="X14" s="6" t="s">
        <v>189</v>
      </c>
      <c r="Y14" s="6"/>
      <c r="Z14" s="6" t="s">
        <v>190</v>
      </c>
      <c r="AA14" s="6" t="s">
        <v>187</v>
      </c>
      <c r="AB14" s="6" t="s">
        <v>71</v>
      </c>
      <c r="AC14" s="6" t="s">
        <v>72</v>
      </c>
      <c r="AD14" s="6" t="s">
        <v>191</v>
      </c>
      <c r="AE14" s="6" t="s">
        <v>74</v>
      </c>
    </row>
    <row r="15" customFormat="false" ht="23.85" hidden="false" customHeight="false" outlineLevel="0" collapsed="false">
      <c r="A15" s="6" t="s">
        <v>192</v>
      </c>
      <c r="B15" s="4" t="s">
        <v>193</v>
      </c>
      <c r="C15" s="6" t="s">
        <v>194</v>
      </c>
      <c r="D15" s="7" t="s">
        <v>60</v>
      </c>
      <c r="E15" s="6" t="s">
        <v>195</v>
      </c>
      <c r="F15" s="6" t="s">
        <v>196</v>
      </c>
      <c r="G15" s="6" t="s">
        <v>60</v>
      </c>
      <c r="H15" s="4" t="s">
        <v>197</v>
      </c>
      <c r="I15" s="8" t="s">
        <v>198</v>
      </c>
      <c r="J15" s="7" t="s">
        <v>139</v>
      </c>
      <c r="K15" s="9" t="str">
        <f aca="false">LEFT(J15,3)</f>
        <v>T01</v>
      </c>
      <c r="L15" s="7" t="s">
        <v>199</v>
      </c>
      <c r="M15" s="9" t="str">
        <f aca="false">IF(L15="",K15,K15&amp;"; "&amp;L15)</f>
        <v>T01; T14; T09</v>
      </c>
      <c r="N15" s="9" t="str">
        <f aca="false">INDEX('Taxonomía temas'!$D$2:$D$54,MATCH(K15,'Taxonomía temas'!$A$2:$A$54,0))</f>
        <v>Economía y producción</v>
      </c>
      <c r="O15" s="9" t="n">
        <f aca="false">INDEX('Taxonomía temas'!$F$2:$F$54,MATCH(K15,'Taxonomía temas'!$A$2:$A$54,0))</f>
        <v>8</v>
      </c>
      <c r="P15" s="7"/>
      <c r="Q15" s="7" t="s">
        <v>67</v>
      </c>
      <c r="R15" s="7" t="s">
        <v>68</v>
      </c>
      <c r="S15" s="7" t="s">
        <v>68</v>
      </c>
      <c r="T15" s="7" t="s">
        <v>68</v>
      </c>
      <c r="U15" s="7" t="s">
        <v>68</v>
      </c>
      <c r="V15" s="7"/>
      <c r="W15" s="9" t="str">
        <f aca="false">IF(V15="","No","Sí")</f>
        <v>No</v>
      </c>
      <c r="X15" s="6" t="s">
        <v>200</v>
      </c>
      <c r="Y15" s="6"/>
      <c r="Z15" s="6" t="s">
        <v>201</v>
      </c>
      <c r="AA15" s="6" t="s">
        <v>198</v>
      </c>
      <c r="AB15" s="6" t="s">
        <v>71</v>
      </c>
      <c r="AC15" s="6" t="s">
        <v>72</v>
      </c>
      <c r="AD15" s="6" t="s">
        <v>202</v>
      </c>
      <c r="AE15" s="6" t="s">
        <v>74</v>
      </c>
    </row>
    <row r="16" customFormat="false" ht="23.85" hidden="false" customHeight="false" outlineLevel="0" collapsed="false">
      <c r="A16" s="6" t="s">
        <v>203</v>
      </c>
      <c r="B16" s="4" t="s">
        <v>204</v>
      </c>
      <c r="C16" s="6" t="s">
        <v>77</v>
      </c>
      <c r="D16" s="7" t="s">
        <v>60</v>
      </c>
      <c r="E16" s="6" t="s">
        <v>78</v>
      </c>
      <c r="F16" s="6" t="s">
        <v>62</v>
      </c>
      <c r="G16" s="6" t="s">
        <v>60</v>
      </c>
      <c r="H16" s="4" t="s">
        <v>205</v>
      </c>
      <c r="I16" s="8" t="s">
        <v>206</v>
      </c>
      <c r="J16" s="7" t="s">
        <v>82</v>
      </c>
      <c r="K16" s="9" t="str">
        <f aca="false">LEFT(J16,3)</f>
        <v>T03</v>
      </c>
      <c r="L16" s="7" t="s">
        <v>83</v>
      </c>
      <c r="M16" s="9" t="str">
        <f aca="false">IF(L16="",K16,K16&amp;"; "&amp;L16)</f>
        <v>T03; T07</v>
      </c>
      <c r="N16" s="9" t="str">
        <f aca="false">INDEX('Taxonomía temas'!$D$2:$D$54,MATCH(K16,'Taxonomía temas'!$A$2:$A$54,0))</f>
        <v>Economía y producción</v>
      </c>
      <c r="O16" s="9" t="n">
        <f aca="false">INDEX('Taxonomía temas'!$F$2:$F$54,MATCH(K16,'Taxonomía temas'!$A$2:$A$54,0))</f>
        <v>17</v>
      </c>
      <c r="P16" s="7"/>
      <c r="Q16" s="7" t="s">
        <v>67</v>
      </c>
      <c r="R16" s="7" t="s">
        <v>68</v>
      </c>
      <c r="S16" s="7" t="s">
        <v>68</v>
      </c>
      <c r="T16" s="7" t="s">
        <v>68</v>
      </c>
      <c r="U16" s="7" t="s">
        <v>68</v>
      </c>
      <c r="V16" s="7"/>
      <c r="W16" s="9" t="str">
        <f aca="false">IF(V16="","No","Sí")</f>
        <v>No</v>
      </c>
      <c r="X16" s="6"/>
      <c r="Y16" s="6" t="s">
        <v>207</v>
      </c>
      <c r="Z16" s="6" t="s">
        <v>208</v>
      </c>
      <c r="AA16" s="6" t="s">
        <v>206</v>
      </c>
      <c r="AB16" s="6" t="s">
        <v>71</v>
      </c>
      <c r="AC16" s="6" t="s">
        <v>72</v>
      </c>
      <c r="AD16" s="6" t="s">
        <v>209</v>
      </c>
      <c r="AE16" s="6" t="s">
        <v>74</v>
      </c>
    </row>
    <row r="17" customFormat="false" ht="23.85" hidden="false" customHeight="false" outlineLevel="0" collapsed="false">
      <c r="A17" s="6" t="s">
        <v>210</v>
      </c>
      <c r="B17" s="4" t="s">
        <v>211</v>
      </c>
      <c r="C17" s="6" t="s">
        <v>77</v>
      </c>
      <c r="D17" s="7" t="s">
        <v>60</v>
      </c>
      <c r="E17" s="6" t="s">
        <v>78</v>
      </c>
      <c r="F17" s="6" t="s">
        <v>212</v>
      </c>
      <c r="G17" s="6" t="s">
        <v>60</v>
      </c>
      <c r="H17" s="4" t="s">
        <v>213</v>
      </c>
      <c r="I17" s="8" t="s">
        <v>214</v>
      </c>
      <c r="J17" s="7" t="s">
        <v>139</v>
      </c>
      <c r="K17" s="9" t="str">
        <f aca="false">LEFT(J17,3)</f>
        <v>T01</v>
      </c>
      <c r="L17" s="7" t="s">
        <v>199</v>
      </c>
      <c r="M17" s="9" t="str">
        <f aca="false">IF(L17="",K17,K17&amp;"; "&amp;L17)</f>
        <v>T01; T14; T09</v>
      </c>
      <c r="N17" s="9" t="str">
        <f aca="false">INDEX('Taxonomía temas'!$D$2:$D$54,MATCH(K17,'Taxonomía temas'!$A$2:$A$54,0))</f>
        <v>Economía y producción</v>
      </c>
      <c r="O17" s="9" t="n">
        <f aca="false">INDEX('Taxonomía temas'!$F$2:$F$54,MATCH(K17,'Taxonomía temas'!$A$2:$A$54,0))</f>
        <v>8</v>
      </c>
      <c r="P17" s="7"/>
      <c r="Q17" s="7" t="s">
        <v>177</v>
      </c>
      <c r="R17" s="7" t="s">
        <v>68</v>
      </c>
      <c r="S17" s="7" t="s">
        <v>68</v>
      </c>
      <c r="T17" s="7" t="s">
        <v>68</v>
      </c>
      <c r="U17" s="7" t="s">
        <v>68</v>
      </c>
      <c r="V17" s="7"/>
      <c r="W17" s="9" t="str">
        <f aca="false">IF(V17="","No","Sí")</f>
        <v>No</v>
      </c>
      <c r="X17" s="6"/>
      <c r="Y17" s="6" t="s">
        <v>207</v>
      </c>
      <c r="Z17" s="6" t="s">
        <v>215</v>
      </c>
      <c r="AA17" s="6" t="s">
        <v>214</v>
      </c>
      <c r="AB17" s="6" t="s">
        <v>71</v>
      </c>
      <c r="AC17" s="6" t="s">
        <v>72</v>
      </c>
      <c r="AD17" s="6" t="s">
        <v>216</v>
      </c>
      <c r="AE17" s="6" t="s">
        <v>74</v>
      </c>
    </row>
    <row r="18" customFormat="false" ht="23.85" hidden="false" customHeight="false" outlineLevel="0" collapsed="false">
      <c r="A18" s="6" t="s">
        <v>217</v>
      </c>
      <c r="B18" s="4" t="s">
        <v>218</v>
      </c>
      <c r="C18" s="6" t="s">
        <v>219</v>
      </c>
      <c r="D18" s="7" t="s">
        <v>60</v>
      </c>
      <c r="E18" s="6" t="s">
        <v>78</v>
      </c>
      <c r="F18" s="6" t="s">
        <v>196</v>
      </c>
      <c r="G18" s="6" t="s">
        <v>60</v>
      </c>
      <c r="H18" s="4" t="s">
        <v>220</v>
      </c>
      <c r="I18" s="8" t="s">
        <v>221</v>
      </c>
      <c r="J18" s="7" t="s">
        <v>222</v>
      </c>
      <c r="K18" s="9" t="str">
        <f aca="false">LEFT(J18,3)</f>
        <v>T07</v>
      </c>
      <c r="L18" s="7" t="s">
        <v>166</v>
      </c>
      <c r="M18" s="9" t="str">
        <f aca="false">IF(L18="",K18,K18&amp;"; "&amp;L18)</f>
        <v>T07; T14</v>
      </c>
      <c r="N18" s="9" t="str">
        <f aca="false">INDEX('Taxonomía temas'!$D$2:$D$54,MATCH(K18,'Taxonomía temas'!$A$2:$A$54,0))</f>
        <v>Economía y producción</v>
      </c>
      <c r="O18" s="9" t="n">
        <f aca="false">INDEX('Taxonomía temas'!$F$2:$F$54,MATCH(K18,'Taxonomía temas'!$A$2:$A$54,0))</f>
        <v>8</v>
      </c>
      <c r="P18" s="7" t="s">
        <v>223</v>
      </c>
      <c r="Q18" s="7" t="s">
        <v>177</v>
      </c>
      <c r="R18" s="7" t="s">
        <v>68</v>
      </c>
      <c r="S18" s="7" t="s">
        <v>68</v>
      </c>
      <c r="T18" s="7" t="s">
        <v>68</v>
      </c>
      <c r="U18" s="7" t="s">
        <v>224</v>
      </c>
      <c r="V18" s="7" t="s">
        <v>225</v>
      </c>
      <c r="W18" s="9" t="str">
        <f aca="false">IF(V18="","No","Sí")</f>
        <v>Sí</v>
      </c>
      <c r="X18" s="6"/>
      <c r="Y18" s="6"/>
      <c r="Z18" s="6" t="s">
        <v>226</v>
      </c>
      <c r="AA18" s="6" t="s">
        <v>221</v>
      </c>
      <c r="AB18" s="6" t="s">
        <v>71</v>
      </c>
      <c r="AC18" s="6" t="s">
        <v>72</v>
      </c>
      <c r="AD18" s="6" t="s">
        <v>227</v>
      </c>
      <c r="AE18" s="6" t="s">
        <v>74</v>
      </c>
    </row>
    <row r="19" customFormat="false" ht="23.85" hidden="false" customHeight="false" outlineLevel="0" collapsed="false">
      <c r="A19" s="6" t="s">
        <v>228</v>
      </c>
      <c r="B19" s="4" t="s">
        <v>229</v>
      </c>
      <c r="C19" s="6" t="s">
        <v>230</v>
      </c>
      <c r="D19" s="7" t="s">
        <v>60</v>
      </c>
      <c r="E19" s="6" t="s">
        <v>162</v>
      </c>
      <c r="F19" s="6" t="s">
        <v>196</v>
      </c>
      <c r="G19" s="6" t="s">
        <v>60</v>
      </c>
      <c r="H19" s="4" t="s">
        <v>231</v>
      </c>
      <c r="I19" s="8" t="s">
        <v>232</v>
      </c>
      <c r="J19" s="7" t="s">
        <v>233</v>
      </c>
      <c r="K19" s="9" t="str">
        <f aca="false">LEFT(J19,3)</f>
        <v>T05</v>
      </c>
      <c r="L19" s="7" t="s">
        <v>234</v>
      </c>
      <c r="M19" s="9" t="str">
        <f aca="false">IF(L19="",K19,K19&amp;"; "&amp;L19)</f>
        <v>T05; T14; T03</v>
      </c>
      <c r="N19" s="9" t="str">
        <f aca="false">INDEX('Taxonomía temas'!$D$2:$D$54,MATCH(K19,'Taxonomía temas'!$A$2:$A$54,0))</f>
        <v>Economía y producción</v>
      </c>
      <c r="O19" s="9" t="n">
        <f aca="false">INDEX('Taxonomía temas'!$F$2:$F$54,MATCH(K19,'Taxonomía temas'!$A$2:$A$54,0))</f>
        <v>9</v>
      </c>
      <c r="P19" s="7"/>
      <c r="Q19" s="7" t="s">
        <v>177</v>
      </c>
      <c r="R19" s="7" t="s">
        <v>68</v>
      </c>
      <c r="S19" s="7" t="s">
        <v>68</v>
      </c>
      <c r="T19" s="7" t="s">
        <v>68</v>
      </c>
      <c r="U19" s="7" t="s">
        <v>68</v>
      </c>
      <c r="V19" s="7" t="s">
        <v>235</v>
      </c>
      <c r="W19" s="9" t="str">
        <f aca="false">IF(V19="","No","Sí")</f>
        <v>Sí</v>
      </c>
      <c r="X19" s="6" t="s">
        <v>236</v>
      </c>
      <c r="Y19" s="6"/>
      <c r="Z19" s="6" t="s">
        <v>237</v>
      </c>
      <c r="AA19" s="6" t="s">
        <v>232</v>
      </c>
      <c r="AB19" s="6" t="s">
        <v>71</v>
      </c>
      <c r="AC19" s="6" t="s">
        <v>72</v>
      </c>
      <c r="AD19" s="6" t="s">
        <v>238</v>
      </c>
      <c r="AE19" s="6" t="s">
        <v>74</v>
      </c>
    </row>
    <row r="20" customFormat="false" ht="23.85" hidden="false" customHeight="false" outlineLevel="0" collapsed="false">
      <c r="A20" s="6" t="s">
        <v>239</v>
      </c>
      <c r="B20" s="4" t="s">
        <v>240</v>
      </c>
      <c r="C20" s="6" t="s">
        <v>241</v>
      </c>
      <c r="D20" s="7" t="s">
        <v>60</v>
      </c>
      <c r="E20" s="6" t="s">
        <v>162</v>
      </c>
      <c r="F20" s="6" t="s">
        <v>242</v>
      </c>
      <c r="G20" s="6" t="s">
        <v>60</v>
      </c>
      <c r="H20" s="4" t="s">
        <v>243</v>
      </c>
      <c r="I20" s="8" t="s">
        <v>244</v>
      </c>
      <c r="J20" s="7" t="s">
        <v>65</v>
      </c>
      <c r="K20" s="9" t="str">
        <f aca="false">LEFT(J20,3)</f>
        <v>T04</v>
      </c>
      <c r="L20" s="7"/>
      <c r="M20" s="9" t="str">
        <f aca="false">IF(L20="",K20,K20&amp;"; "&amp;L20)</f>
        <v>T04</v>
      </c>
      <c r="N20" s="9" t="str">
        <f aca="false">INDEX('Taxonomía temas'!$D$2:$D$54,MATCH(K20,'Taxonomía temas'!$A$2:$A$54,0))</f>
        <v>Economía y producción</v>
      </c>
      <c r="O20" s="9" t="n">
        <f aca="false">INDEX('Taxonomía temas'!$F$2:$F$54,MATCH(K20,'Taxonomía temas'!$A$2:$A$54,0))</f>
        <v>2</v>
      </c>
      <c r="P20" s="7"/>
      <c r="Q20" s="7" t="s">
        <v>67</v>
      </c>
      <c r="R20" s="7" t="s">
        <v>68</v>
      </c>
      <c r="S20" s="7" t="s">
        <v>68</v>
      </c>
      <c r="T20" s="7" t="s">
        <v>68</v>
      </c>
      <c r="U20" s="7" t="s">
        <v>68</v>
      </c>
      <c r="V20" s="7" t="s">
        <v>245</v>
      </c>
      <c r="W20" s="9" t="str">
        <f aca="false">IF(V20="","No","Sí")</f>
        <v>Sí</v>
      </c>
      <c r="X20" s="6"/>
      <c r="Y20" s="6"/>
      <c r="Z20" s="6" t="s">
        <v>246</v>
      </c>
      <c r="AA20" s="6" t="s">
        <v>244</v>
      </c>
      <c r="AB20" s="6" t="s">
        <v>71</v>
      </c>
      <c r="AC20" s="6" t="s">
        <v>72</v>
      </c>
      <c r="AD20" s="6" t="s">
        <v>247</v>
      </c>
      <c r="AE20" s="6" t="s">
        <v>74</v>
      </c>
    </row>
    <row r="21" customFormat="false" ht="23.85" hidden="false" customHeight="false" outlineLevel="0" collapsed="false">
      <c r="A21" s="6" t="s">
        <v>248</v>
      </c>
      <c r="B21" s="4" t="s">
        <v>249</v>
      </c>
      <c r="C21" s="6" t="s">
        <v>194</v>
      </c>
      <c r="D21" s="7" t="s">
        <v>60</v>
      </c>
      <c r="E21" s="6" t="s">
        <v>195</v>
      </c>
      <c r="F21" s="6" t="s">
        <v>242</v>
      </c>
      <c r="G21" s="6" t="s">
        <v>250</v>
      </c>
      <c r="H21" s="4" t="s">
        <v>251</v>
      </c>
      <c r="I21" s="8" t="s">
        <v>252</v>
      </c>
      <c r="J21" s="7" t="s">
        <v>165</v>
      </c>
      <c r="K21" s="9" t="str">
        <f aca="false">LEFT(J21,3)</f>
        <v>T09</v>
      </c>
      <c r="L21" s="7" t="s">
        <v>66</v>
      </c>
      <c r="M21" s="9" t="str">
        <f aca="false">IF(L21="",K21,K21&amp;"; "&amp;L21)</f>
        <v>T09; T01</v>
      </c>
      <c r="N21" s="9" t="str">
        <f aca="false">INDEX('Taxonomía temas'!$D$2:$D$54,MATCH(K21,'Taxonomía temas'!$A$2:$A$54,0))</f>
        <v>Economía y producción</v>
      </c>
      <c r="O21" s="9" t="n">
        <f aca="false">INDEX('Taxonomía temas'!$F$2:$F$54,MATCH(K21,'Taxonomía temas'!$A$2:$A$54,0))</f>
        <v>12</v>
      </c>
      <c r="P21" s="7" t="s">
        <v>253</v>
      </c>
      <c r="Q21" s="7" t="s">
        <v>67</v>
      </c>
      <c r="R21" s="7" t="s">
        <v>68</v>
      </c>
      <c r="S21" s="7" t="s">
        <v>68</v>
      </c>
      <c r="T21" s="7" t="s">
        <v>224</v>
      </c>
      <c r="U21" s="7" t="s">
        <v>68</v>
      </c>
      <c r="V21" s="7"/>
      <c r="W21" s="9" t="str">
        <f aca="false">IF(V21="","No","Sí")</f>
        <v>No</v>
      </c>
      <c r="X21" s="6"/>
      <c r="Y21" s="6"/>
      <c r="Z21" s="6" t="s">
        <v>254</v>
      </c>
      <c r="AA21" s="6" t="s">
        <v>252</v>
      </c>
      <c r="AB21" s="6" t="s">
        <v>71</v>
      </c>
      <c r="AC21" s="6" t="s">
        <v>72</v>
      </c>
      <c r="AD21" s="6" t="s">
        <v>255</v>
      </c>
      <c r="AE21" s="6" t="s">
        <v>74</v>
      </c>
    </row>
    <row r="22" customFormat="false" ht="23.85" hidden="false" customHeight="false" outlineLevel="0" collapsed="false">
      <c r="A22" s="6" t="s">
        <v>256</v>
      </c>
      <c r="B22" s="4" t="s">
        <v>257</v>
      </c>
      <c r="C22" s="6" t="s">
        <v>258</v>
      </c>
      <c r="D22" s="7" t="s">
        <v>60</v>
      </c>
      <c r="E22" s="6" t="s">
        <v>259</v>
      </c>
      <c r="F22" s="6" t="s">
        <v>242</v>
      </c>
      <c r="G22" s="6" t="s">
        <v>60</v>
      </c>
      <c r="H22" s="4" t="s">
        <v>260</v>
      </c>
      <c r="I22" s="8" t="s">
        <v>261</v>
      </c>
      <c r="J22" s="7" t="s">
        <v>65</v>
      </c>
      <c r="K22" s="9" t="str">
        <f aca="false">LEFT(J22,3)</f>
        <v>T04</v>
      </c>
      <c r="L22" s="7" t="s">
        <v>262</v>
      </c>
      <c r="M22" s="9" t="str">
        <f aca="false">IF(L22="",K22,K22&amp;"; "&amp;L22)</f>
        <v>T04; T09</v>
      </c>
      <c r="N22" s="9" t="str">
        <f aca="false">INDEX('Taxonomía temas'!$D$2:$D$54,MATCH(K22,'Taxonomía temas'!$A$2:$A$54,0))</f>
        <v>Economía y producción</v>
      </c>
      <c r="O22" s="9" t="n">
        <f aca="false">INDEX('Taxonomía temas'!$F$2:$F$54,MATCH(K22,'Taxonomía temas'!$A$2:$A$54,0))</f>
        <v>2</v>
      </c>
      <c r="P22" s="7"/>
      <c r="Q22" s="7" t="s">
        <v>67</v>
      </c>
      <c r="R22" s="7" t="s">
        <v>68</v>
      </c>
      <c r="S22" s="7" t="s">
        <v>68</v>
      </c>
      <c r="T22" s="7" t="s">
        <v>68</v>
      </c>
      <c r="U22" s="7" t="s">
        <v>68</v>
      </c>
      <c r="V22" s="7"/>
      <c r="W22" s="9" t="str">
        <f aca="false">IF(V22="","No","Sí")</f>
        <v>No</v>
      </c>
      <c r="X22" s="6"/>
      <c r="Y22" s="6"/>
      <c r="Z22" s="6" t="s">
        <v>263</v>
      </c>
      <c r="AA22" s="6" t="s">
        <v>261</v>
      </c>
      <c r="AB22" s="6" t="s">
        <v>71</v>
      </c>
      <c r="AC22" s="6" t="s">
        <v>72</v>
      </c>
      <c r="AD22" s="6" t="s">
        <v>264</v>
      </c>
      <c r="AE22" s="6" t="s">
        <v>74</v>
      </c>
    </row>
    <row r="23" customFormat="false" ht="23.85" hidden="false" customHeight="false" outlineLevel="0" collapsed="false">
      <c r="A23" s="6" t="s">
        <v>265</v>
      </c>
      <c r="B23" s="4" t="s">
        <v>266</v>
      </c>
      <c r="C23" s="6" t="s">
        <v>267</v>
      </c>
      <c r="D23" s="7" t="s">
        <v>60</v>
      </c>
      <c r="E23" s="6" t="s">
        <v>61</v>
      </c>
      <c r="F23" s="6" t="s">
        <v>242</v>
      </c>
      <c r="G23" s="6" t="s">
        <v>60</v>
      </c>
      <c r="H23" s="4" t="s">
        <v>268</v>
      </c>
      <c r="I23" s="8" t="s">
        <v>269</v>
      </c>
      <c r="J23" s="7" t="s">
        <v>233</v>
      </c>
      <c r="K23" s="9" t="str">
        <f aca="false">LEFT(J23,3)</f>
        <v>T05</v>
      </c>
      <c r="L23" s="7" t="s">
        <v>166</v>
      </c>
      <c r="M23" s="9" t="str">
        <f aca="false">IF(L23="",K23,K23&amp;"; "&amp;L23)</f>
        <v>T05; T14</v>
      </c>
      <c r="N23" s="9" t="str">
        <f aca="false">INDEX('Taxonomía temas'!$D$2:$D$54,MATCH(K23,'Taxonomía temas'!$A$2:$A$54,0))</f>
        <v>Economía y producción</v>
      </c>
      <c r="O23" s="9" t="n">
        <f aca="false">INDEX('Taxonomía temas'!$F$2:$F$54,MATCH(K23,'Taxonomía temas'!$A$2:$A$54,0))</f>
        <v>9</v>
      </c>
      <c r="P23" s="7"/>
      <c r="Q23" s="7" t="s">
        <v>67</v>
      </c>
      <c r="R23" s="7" t="s">
        <v>68</v>
      </c>
      <c r="S23" s="7" t="s">
        <v>68</v>
      </c>
      <c r="T23" s="7" t="s">
        <v>68</v>
      </c>
      <c r="U23" s="7" t="s">
        <v>68</v>
      </c>
      <c r="V23" s="7" t="s">
        <v>270</v>
      </c>
      <c r="W23" s="9" t="str">
        <f aca="false">IF(V23="","No","Sí")</f>
        <v>Sí</v>
      </c>
      <c r="X23" s="6"/>
      <c r="Y23" s="6"/>
      <c r="Z23" s="6" t="s">
        <v>271</v>
      </c>
      <c r="AA23" s="6" t="s">
        <v>269</v>
      </c>
      <c r="AB23" s="6" t="s">
        <v>71</v>
      </c>
      <c r="AC23" s="6" t="s">
        <v>72</v>
      </c>
      <c r="AD23" s="6" t="s">
        <v>272</v>
      </c>
      <c r="AE23" s="6" t="s">
        <v>74</v>
      </c>
    </row>
    <row r="24" customFormat="false" ht="23.85" hidden="false" customHeight="false" outlineLevel="0" collapsed="false">
      <c r="A24" s="6" t="s">
        <v>273</v>
      </c>
      <c r="B24" s="4" t="s">
        <v>274</v>
      </c>
      <c r="C24" s="6" t="s">
        <v>275</v>
      </c>
      <c r="D24" s="7" t="s">
        <v>60</v>
      </c>
      <c r="E24" s="6" t="s">
        <v>162</v>
      </c>
      <c r="F24" s="6" t="s">
        <v>242</v>
      </c>
      <c r="G24" s="6" t="s">
        <v>60</v>
      </c>
      <c r="H24" s="4" t="s">
        <v>276</v>
      </c>
      <c r="I24" s="8" t="s">
        <v>277</v>
      </c>
      <c r="J24" s="7" t="s">
        <v>278</v>
      </c>
      <c r="K24" s="9" t="str">
        <f aca="false">LEFT(J24,3)</f>
        <v>T13</v>
      </c>
      <c r="L24" s="7" t="s">
        <v>279</v>
      </c>
      <c r="M24" s="9" t="str">
        <f aca="false">IF(L24="",K24,K24&amp;"; "&amp;L24)</f>
        <v>T13; T14; T03; T11</v>
      </c>
      <c r="N24" s="9" t="str">
        <f aca="false">INDEX('Taxonomía temas'!$D$2:$D$54,MATCH(K24,'Taxonomía temas'!$A$2:$A$54,0))</f>
        <v>Ciencia, tecnología e innovación</v>
      </c>
      <c r="O24" s="9" t="n">
        <f aca="false">INDEX('Taxonomía temas'!$F$2:$F$54,MATCH(K24,'Taxonomía temas'!$A$2:$A$54,0))</f>
        <v>9</v>
      </c>
      <c r="P24" s="7"/>
      <c r="Q24" s="7" t="s">
        <v>67</v>
      </c>
      <c r="R24" s="7" t="s">
        <v>68</v>
      </c>
      <c r="S24" s="7" t="s">
        <v>68</v>
      </c>
      <c r="T24" s="7" t="s">
        <v>68</v>
      </c>
      <c r="U24" s="7" t="s">
        <v>68</v>
      </c>
      <c r="V24" s="7" t="s">
        <v>280</v>
      </c>
      <c r="W24" s="9" t="str">
        <f aca="false">IF(V24="","No","Sí")</f>
        <v>Sí</v>
      </c>
      <c r="X24" s="6"/>
      <c r="Y24" s="6"/>
      <c r="Z24" s="6" t="s">
        <v>281</v>
      </c>
      <c r="AA24" s="6" t="s">
        <v>277</v>
      </c>
      <c r="AB24" s="6" t="s">
        <v>71</v>
      </c>
      <c r="AC24" s="6" t="s">
        <v>72</v>
      </c>
      <c r="AD24" s="6" t="s">
        <v>282</v>
      </c>
      <c r="AE24" s="6" t="s">
        <v>74</v>
      </c>
    </row>
    <row r="25" customFormat="false" ht="23.85" hidden="false" customHeight="false" outlineLevel="0" collapsed="false">
      <c r="A25" s="6" t="s">
        <v>283</v>
      </c>
      <c r="B25" s="4" t="s">
        <v>284</v>
      </c>
      <c r="C25" s="6" t="s">
        <v>285</v>
      </c>
      <c r="D25" s="7" t="s">
        <v>286</v>
      </c>
      <c r="E25" s="6" t="s">
        <v>287</v>
      </c>
      <c r="F25" s="6" t="s">
        <v>212</v>
      </c>
      <c r="G25" s="6" t="s">
        <v>288</v>
      </c>
      <c r="H25" s="4" t="s">
        <v>289</v>
      </c>
      <c r="I25" s="8" t="s">
        <v>290</v>
      </c>
      <c r="J25" s="7" t="s">
        <v>291</v>
      </c>
      <c r="K25" s="9" t="str">
        <f aca="false">LEFT(J25,3)</f>
        <v>T06</v>
      </c>
      <c r="L25" s="7"/>
      <c r="M25" s="9" t="str">
        <f aca="false">IF(L25="",K25,K25&amp;"; "&amp;L25)</f>
        <v>T06</v>
      </c>
      <c r="N25" s="9" t="str">
        <f aca="false">INDEX('Taxonomía temas'!$D$2:$D$54,MATCH(K25,'Taxonomía temas'!$A$2:$A$54,0))</f>
        <v>Economía y producción</v>
      </c>
      <c r="O25" s="9" t="n">
        <f aca="false">INDEX('Taxonomía temas'!$F$2:$F$54,MATCH(K25,'Taxonomía temas'!$A$2:$A$54,0))</f>
        <v>8</v>
      </c>
      <c r="P25" s="7" t="s">
        <v>253</v>
      </c>
      <c r="Q25" s="7" t="s">
        <v>177</v>
      </c>
      <c r="R25" s="7" t="s">
        <v>68</v>
      </c>
      <c r="S25" s="7" t="s">
        <v>68</v>
      </c>
      <c r="T25" s="7" t="s">
        <v>224</v>
      </c>
      <c r="U25" s="7" t="s">
        <v>68</v>
      </c>
      <c r="V25" s="7"/>
      <c r="W25" s="9" t="str">
        <f aca="false">IF(V25="","No","Sí")</f>
        <v>No</v>
      </c>
      <c r="X25" s="6"/>
      <c r="Y25" s="6" t="s">
        <v>292</v>
      </c>
      <c r="Z25" s="6" t="s">
        <v>293</v>
      </c>
      <c r="AA25" s="6" t="s">
        <v>290</v>
      </c>
      <c r="AB25" s="6" t="s">
        <v>71</v>
      </c>
      <c r="AC25" s="6" t="s">
        <v>72</v>
      </c>
      <c r="AD25" s="6" t="s">
        <v>294</v>
      </c>
      <c r="AE25" s="6" t="s">
        <v>74</v>
      </c>
    </row>
    <row r="26" customFormat="false" ht="23.85" hidden="false" customHeight="false" outlineLevel="0" collapsed="false">
      <c r="A26" s="6" t="s">
        <v>295</v>
      </c>
      <c r="B26" s="4" t="s">
        <v>296</v>
      </c>
      <c r="C26" s="6" t="s">
        <v>297</v>
      </c>
      <c r="D26" s="7" t="s">
        <v>60</v>
      </c>
      <c r="E26" s="6" t="s">
        <v>61</v>
      </c>
      <c r="F26" s="6" t="s">
        <v>242</v>
      </c>
      <c r="G26" s="6" t="s">
        <v>60</v>
      </c>
      <c r="H26" s="4" t="s">
        <v>298</v>
      </c>
      <c r="I26" s="8" t="s">
        <v>299</v>
      </c>
      <c r="J26" s="7" t="s">
        <v>291</v>
      </c>
      <c r="K26" s="9" t="str">
        <f aca="false">LEFT(J26,3)</f>
        <v>T06</v>
      </c>
      <c r="L26" s="7"/>
      <c r="M26" s="9" t="str">
        <f aca="false">IF(L26="",K26,K26&amp;"; "&amp;L26)</f>
        <v>T06</v>
      </c>
      <c r="N26" s="9" t="str">
        <f aca="false">INDEX('Taxonomía temas'!$D$2:$D$54,MATCH(K26,'Taxonomía temas'!$A$2:$A$54,0))</f>
        <v>Economía y producción</v>
      </c>
      <c r="O26" s="9" t="n">
        <f aca="false">INDEX('Taxonomía temas'!$F$2:$F$54,MATCH(K26,'Taxonomía temas'!$A$2:$A$54,0))</f>
        <v>8</v>
      </c>
      <c r="P26" s="7"/>
      <c r="Q26" s="7" t="s">
        <v>67</v>
      </c>
      <c r="R26" s="7" t="s">
        <v>68</v>
      </c>
      <c r="S26" s="7" t="s">
        <v>68</v>
      </c>
      <c r="T26" s="7" t="s">
        <v>68</v>
      </c>
      <c r="U26" s="7" t="s">
        <v>68</v>
      </c>
      <c r="V26" s="7" t="s">
        <v>300</v>
      </c>
      <c r="W26" s="9" t="str">
        <f aca="false">IF(V26="","No","Sí")</f>
        <v>Sí</v>
      </c>
      <c r="X26" s="6"/>
      <c r="Y26" s="6"/>
      <c r="Z26" s="6" t="s">
        <v>301</v>
      </c>
      <c r="AA26" s="4" t="s">
        <v>302</v>
      </c>
      <c r="AB26" s="6" t="s">
        <v>71</v>
      </c>
      <c r="AC26" s="6" t="s">
        <v>72</v>
      </c>
      <c r="AD26" s="6" t="s">
        <v>303</v>
      </c>
      <c r="AE26" s="6" t="s">
        <v>74</v>
      </c>
    </row>
    <row r="27" customFormat="false" ht="23.85" hidden="false" customHeight="false" outlineLevel="0" collapsed="false">
      <c r="A27" s="6" t="s">
        <v>304</v>
      </c>
      <c r="B27" s="4" t="s">
        <v>305</v>
      </c>
      <c r="C27" s="6" t="s">
        <v>306</v>
      </c>
      <c r="D27" s="7" t="s">
        <v>60</v>
      </c>
      <c r="E27" s="6" t="s">
        <v>78</v>
      </c>
      <c r="F27" s="6" t="s">
        <v>79</v>
      </c>
      <c r="G27" s="6" t="s">
        <v>60</v>
      </c>
      <c r="H27" s="4" t="s">
        <v>307</v>
      </c>
      <c r="I27" s="8" t="s">
        <v>308</v>
      </c>
      <c r="J27" s="7" t="s">
        <v>65</v>
      </c>
      <c r="K27" s="9" t="str">
        <f aca="false">LEFT(J27,3)</f>
        <v>T04</v>
      </c>
      <c r="L27" s="7" t="s">
        <v>309</v>
      </c>
      <c r="M27" s="9" t="str">
        <f aca="false">IF(L27="",K27,K27&amp;"; "&amp;L27)</f>
        <v>T04; T03; T09</v>
      </c>
      <c r="N27" s="9" t="str">
        <f aca="false">INDEX('Taxonomía temas'!$D$2:$D$54,MATCH(K27,'Taxonomía temas'!$A$2:$A$54,0))</f>
        <v>Economía y producción</v>
      </c>
      <c r="O27" s="9" t="n">
        <f aca="false">INDEX('Taxonomía temas'!$F$2:$F$54,MATCH(K27,'Taxonomía temas'!$A$2:$A$54,0))</f>
        <v>2</v>
      </c>
      <c r="P27" s="7"/>
      <c r="Q27" s="7" t="s">
        <v>94</v>
      </c>
      <c r="R27" s="7" t="s">
        <v>68</v>
      </c>
      <c r="S27" s="7" t="s">
        <v>68</v>
      </c>
      <c r="T27" s="7" t="s">
        <v>68</v>
      </c>
      <c r="U27" s="7" t="s">
        <v>68</v>
      </c>
      <c r="V27" s="7" t="s">
        <v>69</v>
      </c>
      <c r="W27" s="9" t="str">
        <f aca="false">IF(V27="","No","Sí")</f>
        <v>Sí</v>
      </c>
      <c r="X27" s="6"/>
      <c r="Y27" s="6"/>
      <c r="Z27" s="6" t="s">
        <v>310</v>
      </c>
      <c r="AA27" s="6" t="s">
        <v>308</v>
      </c>
      <c r="AB27" s="6" t="s">
        <v>71</v>
      </c>
      <c r="AC27" s="6" t="s">
        <v>72</v>
      </c>
      <c r="AD27" s="6" t="s">
        <v>311</v>
      </c>
      <c r="AE27" s="6" t="s">
        <v>74</v>
      </c>
    </row>
    <row r="28" customFormat="false" ht="23.85" hidden="false" customHeight="false" outlineLevel="0" collapsed="false">
      <c r="A28" s="6" t="s">
        <v>312</v>
      </c>
      <c r="B28" s="4" t="s">
        <v>313</v>
      </c>
      <c r="C28" s="6" t="s">
        <v>314</v>
      </c>
      <c r="D28" s="7" t="s">
        <v>60</v>
      </c>
      <c r="E28" s="6" t="s">
        <v>61</v>
      </c>
      <c r="F28" s="6" t="s">
        <v>62</v>
      </c>
      <c r="G28" s="6" t="s">
        <v>60</v>
      </c>
      <c r="H28" s="4" t="s">
        <v>315</v>
      </c>
      <c r="I28" s="8" t="s">
        <v>316</v>
      </c>
      <c r="J28" s="7" t="s">
        <v>102</v>
      </c>
      <c r="K28" s="9" t="str">
        <f aca="false">LEFT(J28,3)</f>
        <v>T02</v>
      </c>
      <c r="L28" s="7"/>
      <c r="M28" s="9" t="str">
        <f aca="false">IF(L28="",K28,K28&amp;"; "&amp;L28)</f>
        <v>T02</v>
      </c>
      <c r="N28" s="9" t="str">
        <f aca="false">INDEX('Taxonomía temas'!$D$2:$D$54,MATCH(K28,'Taxonomía temas'!$A$2:$A$54,0))</f>
        <v>Economía y producción</v>
      </c>
      <c r="O28" s="9" t="n">
        <f aca="false">INDEX('Taxonomía temas'!$F$2:$F$54,MATCH(K28,'Taxonomía temas'!$A$2:$A$54,0))</f>
        <v>17</v>
      </c>
      <c r="P28" s="7"/>
      <c r="Q28" s="7" t="s">
        <v>94</v>
      </c>
      <c r="R28" s="7" t="s">
        <v>68</v>
      </c>
      <c r="S28" s="7" t="s">
        <v>68</v>
      </c>
      <c r="T28" s="7" t="s">
        <v>68</v>
      </c>
      <c r="U28" s="7" t="s">
        <v>68</v>
      </c>
      <c r="V28" s="7" t="s">
        <v>317</v>
      </c>
      <c r="W28" s="9" t="str">
        <f aca="false">IF(V28="","No","Sí")</f>
        <v>Sí</v>
      </c>
      <c r="X28" s="6" t="s">
        <v>189</v>
      </c>
      <c r="Y28" s="6"/>
      <c r="Z28" s="6" t="s">
        <v>318</v>
      </c>
      <c r="AA28" s="6" t="s">
        <v>316</v>
      </c>
      <c r="AB28" s="6" t="s">
        <v>71</v>
      </c>
      <c r="AC28" s="6" t="s">
        <v>72</v>
      </c>
      <c r="AD28" s="6" t="s">
        <v>319</v>
      </c>
      <c r="AE28" s="6" t="s">
        <v>74</v>
      </c>
    </row>
    <row r="29" customFormat="false" ht="15" hidden="false" customHeight="false" outlineLevel="0" collapsed="false">
      <c r="A29" s="6" t="s">
        <v>320</v>
      </c>
      <c r="B29" s="4" t="s">
        <v>321</v>
      </c>
      <c r="C29" s="6" t="s">
        <v>322</v>
      </c>
      <c r="D29" s="7" t="s">
        <v>60</v>
      </c>
      <c r="E29" s="6" t="s">
        <v>61</v>
      </c>
      <c r="F29" s="6" t="s">
        <v>323</v>
      </c>
      <c r="G29" s="6" t="s">
        <v>60</v>
      </c>
      <c r="H29" s="4" t="s">
        <v>324</v>
      </c>
      <c r="I29" s="8" t="s">
        <v>325</v>
      </c>
      <c r="J29" s="7" t="s">
        <v>65</v>
      </c>
      <c r="K29" s="9" t="str">
        <f aca="false">LEFT(J29,3)</f>
        <v>T04</v>
      </c>
      <c r="L29" s="7"/>
      <c r="M29" s="9" t="str">
        <f aca="false">IF(L29="",K29,K29&amp;"; "&amp;L29)</f>
        <v>T04</v>
      </c>
      <c r="N29" s="9" t="str">
        <f aca="false">INDEX('Taxonomía temas'!$D$2:$D$54,MATCH(K29,'Taxonomía temas'!$A$2:$A$54,0))</f>
        <v>Economía y producción</v>
      </c>
      <c r="O29" s="9" t="n">
        <f aca="false">INDEX('Taxonomía temas'!$F$2:$F$54,MATCH(K29,'Taxonomía temas'!$A$2:$A$54,0))</f>
        <v>2</v>
      </c>
      <c r="P29" s="7"/>
      <c r="Q29" s="7" t="s">
        <v>326</v>
      </c>
      <c r="R29" s="7" t="s">
        <v>68</v>
      </c>
      <c r="S29" s="7" t="s">
        <v>68</v>
      </c>
      <c r="T29" s="7" t="s">
        <v>68</v>
      </c>
      <c r="U29" s="7" t="s">
        <v>68</v>
      </c>
      <c r="V29" s="7"/>
      <c r="W29" s="9" t="str">
        <f aca="false">IF(V29="","No","Sí")</f>
        <v>No</v>
      </c>
      <c r="X29" s="6"/>
      <c r="Y29" s="6"/>
      <c r="Z29" s="6" t="s">
        <v>327</v>
      </c>
      <c r="AA29" s="6" t="s">
        <v>325</v>
      </c>
      <c r="AB29" s="6" t="s">
        <v>71</v>
      </c>
      <c r="AC29" s="6" t="s">
        <v>72</v>
      </c>
      <c r="AD29" s="6" t="s">
        <v>328</v>
      </c>
      <c r="AE29" s="6" t="s">
        <v>74</v>
      </c>
    </row>
    <row r="30" customFormat="false" ht="15" hidden="false" customHeight="false" outlineLevel="0" collapsed="false">
      <c r="A30" s="6" t="s">
        <v>329</v>
      </c>
      <c r="B30" s="4" t="s">
        <v>330</v>
      </c>
      <c r="C30" s="6" t="s">
        <v>77</v>
      </c>
      <c r="D30" s="7" t="s">
        <v>60</v>
      </c>
      <c r="E30" s="6" t="s">
        <v>78</v>
      </c>
      <c r="F30" s="6" t="s">
        <v>212</v>
      </c>
      <c r="G30" s="6" t="s">
        <v>60</v>
      </c>
      <c r="H30" s="4" t="s">
        <v>331</v>
      </c>
      <c r="I30" s="8" t="s">
        <v>332</v>
      </c>
      <c r="J30" s="7" t="s">
        <v>82</v>
      </c>
      <c r="K30" s="9" t="str">
        <f aca="false">LEFT(J30,3)</f>
        <v>T03</v>
      </c>
      <c r="L30" s="7"/>
      <c r="M30" s="9" t="str">
        <f aca="false">IF(L30="",K30,K30&amp;"; "&amp;L30)</f>
        <v>T03</v>
      </c>
      <c r="N30" s="9" t="str">
        <f aca="false">INDEX('Taxonomía temas'!$D$2:$D$54,MATCH(K30,'Taxonomía temas'!$A$2:$A$54,0))</f>
        <v>Economía y producción</v>
      </c>
      <c r="O30" s="9" t="n">
        <f aca="false">INDEX('Taxonomía temas'!$F$2:$F$54,MATCH(K30,'Taxonomía temas'!$A$2:$A$54,0))</f>
        <v>17</v>
      </c>
      <c r="P30" s="7"/>
      <c r="Q30" s="7" t="s">
        <v>177</v>
      </c>
      <c r="R30" s="7" t="s">
        <v>68</v>
      </c>
      <c r="S30" s="7" t="s">
        <v>68</v>
      </c>
      <c r="T30" s="7" t="s">
        <v>68</v>
      </c>
      <c r="U30" s="7" t="s">
        <v>68</v>
      </c>
      <c r="V30" s="7"/>
      <c r="W30" s="9" t="str">
        <f aca="false">IF(V30="","No","Sí")</f>
        <v>No</v>
      </c>
      <c r="X30" s="6"/>
      <c r="Y30" s="6" t="s">
        <v>207</v>
      </c>
      <c r="Z30" s="6" t="s">
        <v>333</v>
      </c>
      <c r="AA30" s="6" t="s">
        <v>332</v>
      </c>
      <c r="AB30" s="6" t="s">
        <v>71</v>
      </c>
      <c r="AC30" s="6" t="s">
        <v>72</v>
      </c>
      <c r="AD30" s="6" t="s">
        <v>334</v>
      </c>
      <c r="AE30" s="6" t="s">
        <v>74</v>
      </c>
    </row>
    <row r="31" customFormat="false" ht="23.85" hidden="false" customHeight="false" outlineLevel="0" collapsed="false">
      <c r="A31" s="6" t="s">
        <v>335</v>
      </c>
      <c r="B31" s="4" t="s">
        <v>336</v>
      </c>
      <c r="C31" s="6" t="s">
        <v>337</v>
      </c>
      <c r="D31" s="7" t="s">
        <v>60</v>
      </c>
      <c r="E31" s="6" t="s">
        <v>61</v>
      </c>
      <c r="F31" s="6" t="s">
        <v>196</v>
      </c>
      <c r="G31" s="6" t="s">
        <v>60</v>
      </c>
      <c r="H31" s="4" t="s">
        <v>338</v>
      </c>
      <c r="I31" s="8" t="s">
        <v>339</v>
      </c>
      <c r="J31" s="7" t="s">
        <v>165</v>
      </c>
      <c r="K31" s="9" t="str">
        <f aca="false">LEFT(J31,3)</f>
        <v>T09</v>
      </c>
      <c r="L31" s="7"/>
      <c r="M31" s="9" t="str">
        <f aca="false">IF(L31="",K31,K31&amp;"; "&amp;L31)</f>
        <v>T09</v>
      </c>
      <c r="N31" s="9" t="str">
        <f aca="false">INDEX('Taxonomía temas'!$D$2:$D$54,MATCH(K31,'Taxonomía temas'!$A$2:$A$54,0))</f>
        <v>Economía y producción</v>
      </c>
      <c r="O31" s="9" t="n">
        <f aca="false">INDEX('Taxonomía temas'!$F$2:$F$54,MATCH(K31,'Taxonomía temas'!$A$2:$A$54,0))</f>
        <v>12</v>
      </c>
      <c r="P31" s="7"/>
      <c r="Q31" s="7" t="s">
        <v>177</v>
      </c>
      <c r="R31" s="7" t="s">
        <v>68</v>
      </c>
      <c r="S31" s="7" t="s">
        <v>68</v>
      </c>
      <c r="T31" s="7" t="s">
        <v>68</v>
      </c>
      <c r="U31" s="7" t="s">
        <v>68</v>
      </c>
      <c r="V31" s="7"/>
      <c r="W31" s="9" t="str">
        <f aca="false">IF(V31="","No","Sí")</f>
        <v>No</v>
      </c>
      <c r="X31" s="6"/>
      <c r="Y31" s="6"/>
      <c r="Z31" s="6" t="s">
        <v>340</v>
      </c>
      <c r="AA31" s="6" t="s">
        <v>339</v>
      </c>
      <c r="AB31" s="6" t="s">
        <v>71</v>
      </c>
      <c r="AC31" s="6" t="s">
        <v>72</v>
      </c>
      <c r="AD31" s="6" t="s">
        <v>341</v>
      </c>
      <c r="AE31" s="6" t="s">
        <v>74</v>
      </c>
    </row>
    <row r="32" customFormat="false" ht="23.85" hidden="false" customHeight="false" outlineLevel="0" collapsed="false">
      <c r="A32" s="6" t="s">
        <v>342</v>
      </c>
      <c r="B32" s="4" t="s">
        <v>343</v>
      </c>
      <c r="C32" s="6" t="s">
        <v>322</v>
      </c>
      <c r="D32" s="7" t="s">
        <v>60</v>
      </c>
      <c r="E32" s="6" t="s">
        <v>61</v>
      </c>
      <c r="F32" s="6" t="s">
        <v>344</v>
      </c>
      <c r="G32" s="6" t="s">
        <v>60</v>
      </c>
      <c r="H32" s="4" t="s">
        <v>345</v>
      </c>
      <c r="I32" s="8" t="s">
        <v>346</v>
      </c>
      <c r="J32" s="7" t="s">
        <v>65</v>
      </c>
      <c r="K32" s="9" t="str">
        <f aca="false">LEFT(J32,3)</f>
        <v>T04</v>
      </c>
      <c r="L32" s="7" t="s">
        <v>347</v>
      </c>
      <c r="M32" s="9" t="str">
        <f aca="false">IF(L32="",K32,K32&amp;"; "&amp;L32)</f>
        <v>T04; T35; T37; T41</v>
      </c>
      <c r="N32" s="9" t="str">
        <f aca="false">INDEX('Taxonomía temas'!$D$2:$D$54,MATCH(K32,'Taxonomía temas'!$A$2:$A$54,0))</f>
        <v>Economía y producción</v>
      </c>
      <c r="O32" s="9" t="n">
        <f aca="false">INDEX('Taxonomía temas'!$F$2:$F$54,MATCH(K32,'Taxonomía temas'!$A$2:$A$54,0))</f>
        <v>2</v>
      </c>
      <c r="P32" s="7"/>
      <c r="Q32" s="7" t="s">
        <v>177</v>
      </c>
      <c r="R32" s="7" t="s">
        <v>68</v>
      </c>
      <c r="S32" s="7" t="s">
        <v>68</v>
      </c>
      <c r="T32" s="7" t="s">
        <v>224</v>
      </c>
      <c r="U32" s="7" t="s">
        <v>68</v>
      </c>
      <c r="V32" s="7"/>
      <c r="W32" s="9" t="str">
        <f aca="false">IF(V32="","No","Sí")</f>
        <v>No</v>
      </c>
      <c r="X32" s="6"/>
      <c r="Y32" s="6"/>
      <c r="Z32" s="6" t="s">
        <v>348</v>
      </c>
      <c r="AA32" s="6" t="s">
        <v>349</v>
      </c>
      <c r="AB32" s="6" t="s">
        <v>71</v>
      </c>
      <c r="AC32" s="6" t="s">
        <v>72</v>
      </c>
      <c r="AD32" s="6" t="s">
        <v>350</v>
      </c>
      <c r="AE32" s="6" t="s">
        <v>74</v>
      </c>
    </row>
    <row r="33" customFormat="false" ht="23.85" hidden="false" customHeight="false" outlineLevel="0" collapsed="false">
      <c r="A33" s="6" t="s">
        <v>351</v>
      </c>
      <c r="B33" s="4" t="s">
        <v>352</v>
      </c>
      <c r="C33" s="6" t="s">
        <v>353</v>
      </c>
      <c r="D33" s="7" t="s">
        <v>60</v>
      </c>
      <c r="E33" s="6" t="s">
        <v>61</v>
      </c>
      <c r="F33" s="6" t="s">
        <v>344</v>
      </c>
      <c r="G33" s="6" t="s">
        <v>60</v>
      </c>
      <c r="H33" s="4" t="s">
        <v>354</v>
      </c>
      <c r="I33" s="8" t="s">
        <v>355</v>
      </c>
      <c r="J33" s="7" t="s">
        <v>356</v>
      </c>
      <c r="K33" s="9" t="str">
        <f aca="false">LEFT(J33,3)</f>
        <v>T37</v>
      </c>
      <c r="L33" s="7" t="s">
        <v>357</v>
      </c>
      <c r="M33" s="9" t="str">
        <f aca="false">IF(L33="",K33,K33&amp;"; "&amp;L33)</f>
        <v>T37; T04; T41</v>
      </c>
      <c r="N33" s="9" t="str">
        <f aca="false">INDEX('Taxonomía temas'!$D$2:$D$54,MATCH(K33,'Taxonomía temas'!$A$2:$A$54,0))</f>
        <v>Ambiente, energía y clima</v>
      </c>
      <c r="O33" s="9" t="n">
        <f aca="false">INDEX('Taxonomía temas'!$F$2:$F$54,MATCH(K33,'Taxonomía temas'!$A$2:$A$54,0))</f>
        <v>15</v>
      </c>
      <c r="P33" s="7"/>
      <c r="Q33" s="7" t="s">
        <v>177</v>
      </c>
      <c r="R33" s="7" t="s">
        <v>68</v>
      </c>
      <c r="S33" s="7" t="s">
        <v>68</v>
      </c>
      <c r="T33" s="7" t="s">
        <v>224</v>
      </c>
      <c r="U33" s="7" t="s">
        <v>68</v>
      </c>
      <c r="V33" s="7"/>
      <c r="W33" s="9" t="str">
        <f aca="false">IF(V33="","No","Sí")</f>
        <v>No</v>
      </c>
      <c r="X33" s="6"/>
      <c r="Y33" s="6"/>
      <c r="Z33" s="6" t="s">
        <v>358</v>
      </c>
      <c r="AA33" s="6" t="s">
        <v>355</v>
      </c>
      <c r="AB33" s="6" t="s">
        <v>71</v>
      </c>
      <c r="AC33" s="6" t="s">
        <v>72</v>
      </c>
      <c r="AD33" s="6" t="s">
        <v>359</v>
      </c>
      <c r="AE33" s="6" t="s">
        <v>74</v>
      </c>
    </row>
    <row r="34" customFormat="false" ht="23.85" hidden="false" customHeight="false" outlineLevel="0" collapsed="false">
      <c r="A34" s="6" t="s">
        <v>360</v>
      </c>
      <c r="B34" s="4" t="s">
        <v>361</v>
      </c>
      <c r="C34" s="6" t="s">
        <v>362</v>
      </c>
      <c r="D34" s="7" t="s">
        <v>60</v>
      </c>
      <c r="E34" s="6" t="s">
        <v>259</v>
      </c>
      <c r="F34" s="6" t="s">
        <v>174</v>
      </c>
      <c r="G34" s="6" t="s">
        <v>60</v>
      </c>
      <c r="H34" s="4" t="s">
        <v>363</v>
      </c>
      <c r="I34" s="8" t="s">
        <v>364</v>
      </c>
      <c r="J34" s="7" t="s">
        <v>365</v>
      </c>
      <c r="K34" s="9" t="str">
        <f aca="false">LEFT(J34,3)</f>
        <v>T22</v>
      </c>
      <c r="L34" s="7"/>
      <c r="M34" s="9" t="str">
        <f aca="false">IF(L34="",K34,K34&amp;"; "&amp;L34)</f>
        <v>T22</v>
      </c>
      <c r="N34" s="9" t="str">
        <f aca="false">INDEX('Taxonomía temas'!$D$2:$D$54,MATCH(K34,'Taxonomía temas'!$A$2:$A$54,0))</f>
        <v>Salud y población</v>
      </c>
      <c r="O34" s="9" t="n">
        <f aca="false">INDEX('Taxonomía temas'!$F$2:$F$54,MATCH(K34,'Taxonomía temas'!$A$2:$A$54,0))</f>
        <v>3</v>
      </c>
      <c r="P34" s="7"/>
      <c r="Q34" s="7" t="s">
        <v>177</v>
      </c>
      <c r="R34" s="7" t="s">
        <v>68</v>
      </c>
      <c r="S34" s="7" t="s">
        <v>68</v>
      </c>
      <c r="T34" s="7" t="s">
        <v>68</v>
      </c>
      <c r="U34" s="7" t="s">
        <v>68</v>
      </c>
      <c r="V34" s="7"/>
      <c r="W34" s="9" t="str">
        <f aca="false">IF(V34="","No","Sí")</f>
        <v>No</v>
      </c>
      <c r="X34" s="6"/>
      <c r="Y34" s="6"/>
      <c r="Z34" s="6" t="s">
        <v>366</v>
      </c>
      <c r="AA34" s="4" t="s">
        <v>367</v>
      </c>
      <c r="AB34" s="6" t="s">
        <v>71</v>
      </c>
      <c r="AC34" s="6" t="s">
        <v>368</v>
      </c>
      <c r="AD34" s="6" t="s">
        <v>369</v>
      </c>
      <c r="AE34" s="6" t="s">
        <v>74</v>
      </c>
    </row>
    <row r="35" customFormat="false" ht="23.85" hidden="false" customHeight="false" outlineLevel="0" collapsed="false">
      <c r="A35" s="6" t="s">
        <v>370</v>
      </c>
      <c r="B35" s="4" t="s">
        <v>371</v>
      </c>
      <c r="C35" s="6" t="s">
        <v>372</v>
      </c>
      <c r="D35" s="7" t="s">
        <v>60</v>
      </c>
      <c r="E35" s="6" t="s">
        <v>78</v>
      </c>
      <c r="F35" s="6" t="s">
        <v>373</v>
      </c>
      <c r="G35" s="6" t="s">
        <v>60</v>
      </c>
      <c r="H35" s="4" t="s">
        <v>374</v>
      </c>
      <c r="I35" s="8" t="s">
        <v>375</v>
      </c>
      <c r="J35" s="7" t="s">
        <v>376</v>
      </c>
      <c r="K35" s="9" t="str">
        <f aca="false">LEFT(J35,3)</f>
        <v>T21</v>
      </c>
      <c r="L35" s="7" t="s">
        <v>377</v>
      </c>
      <c r="M35" s="9" t="str">
        <f aca="false">IF(L35="",K35,K35&amp;"; "&amp;L35)</f>
        <v>T21; T14; T44</v>
      </c>
      <c r="N35" s="9" t="str">
        <f aca="false">INDEX('Taxonomía temas'!$D$2:$D$54,MATCH(K35,'Taxonomía temas'!$A$2:$A$54,0))</f>
        <v>Trabajo y protección social</v>
      </c>
      <c r="O35" s="9" t="n">
        <f aca="false">INDEX('Taxonomía temas'!$F$2:$F$54,MATCH(K35,'Taxonomía temas'!$A$2:$A$54,0))</f>
        <v>4</v>
      </c>
      <c r="P35" s="7"/>
      <c r="Q35" s="7" t="s">
        <v>326</v>
      </c>
      <c r="R35" s="7" t="s">
        <v>224</v>
      </c>
      <c r="S35" s="7" t="s">
        <v>68</v>
      </c>
      <c r="T35" s="7" t="s">
        <v>68</v>
      </c>
      <c r="U35" s="7" t="s">
        <v>68</v>
      </c>
      <c r="V35" s="7"/>
      <c r="W35" s="9" t="str">
        <f aca="false">IF(V35="","No","Sí")</f>
        <v>No</v>
      </c>
      <c r="X35" s="6"/>
      <c r="Y35" s="6" t="s">
        <v>378</v>
      </c>
      <c r="Z35" s="6" t="s">
        <v>379</v>
      </c>
      <c r="AA35" s="6" t="s">
        <v>380</v>
      </c>
      <c r="AB35" s="6" t="s">
        <v>71</v>
      </c>
      <c r="AC35" s="6" t="s">
        <v>368</v>
      </c>
      <c r="AD35" s="6" t="s">
        <v>381</v>
      </c>
      <c r="AE35" s="6" t="s">
        <v>74</v>
      </c>
    </row>
    <row r="36" customFormat="false" ht="23.85" hidden="false" customHeight="false" outlineLevel="0" collapsed="false">
      <c r="A36" s="6" t="s">
        <v>382</v>
      </c>
      <c r="B36" s="4" t="s">
        <v>383</v>
      </c>
      <c r="C36" s="6" t="s">
        <v>384</v>
      </c>
      <c r="D36" s="7" t="s">
        <v>60</v>
      </c>
      <c r="E36" s="6" t="s">
        <v>61</v>
      </c>
      <c r="F36" s="6" t="s">
        <v>79</v>
      </c>
      <c r="G36" s="6" t="s">
        <v>110</v>
      </c>
      <c r="H36" s="4" t="s">
        <v>385</v>
      </c>
      <c r="I36" s="8" t="s">
        <v>386</v>
      </c>
      <c r="J36" s="7" t="s">
        <v>387</v>
      </c>
      <c r="K36" s="9" t="str">
        <f aca="false">LEFT(J36,3)</f>
        <v>T14</v>
      </c>
      <c r="L36" s="7" t="s">
        <v>388</v>
      </c>
      <c r="M36" s="9" t="str">
        <f aca="false">IF(L36="",K36,K36&amp;"; "&amp;L36)</f>
        <v>T14; T15</v>
      </c>
      <c r="N36" s="9" t="str">
        <f aca="false">INDEX('Taxonomía temas'!$D$2:$D$54,MATCH(K36,'Taxonomía temas'!$A$2:$A$54,0))</f>
        <v>Trabajo y protección social</v>
      </c>
      <c r="O36" s="9" t="n">
        <f aca="false">INDEX('Taxonomía temas'!$F$2:$F$54,MATCH(K36,'Taxonomía temas'!$A$2:$A$54,0))</f>
        <v>8</v>
      </c>
      <c r="P36" s="7"/>
      <c r="Q36" s="7" t="s">
        <v>94</v>
      </c>
      <c r="R36" s="7" t="s">
        <v>68</v>
      </c>
      <c r="S36" s="7" t="s">
        <v>68</v>
      </c>
      <c r="T36" s="7" t="s">
        <v>68</v>
      </c>
      <c r="U36" s="7" t="s">
        <v>68</v>
      </c>
      <c r="V36" s="7" t="s">
        <v>389</v>
      </c>
      <c r="W36" s="9" t="str">
        <f aca="false">IF(V36="","No","Sí")</f>
        <v>Sí</v>
      </c>
      <c r="X36" s="6"/>
      <c r="Y36" s="6"/>
      <c r="Z36" s="6" t="s">
        <v>390</v>
      </c>
      <c r="AA36" s="4" t="s">
        <v>391</v>
      </c>
      <c r="AB36" s="6" t="s">
        <v>71</v>
      </c>
      <c r="AC36" s="6" t="s">
        <v>368</v>
      </c>
      <c r="AD36" s="6" t="s">
        <v>392</v>
      </c>
      <c r="AE36" s="6" t="s">
        <v>74</v>
      </c>
    </row>
    <row r="37" customFormat="false" ht="23.85" hidden="false" customHeight="false" outlineLevel="0" collapsed="false">
      <c r="A37" s="6" t="s">
        <v>393</v>
      </c>
      <c r="B37" s="4" t="s">
        <v>394</v>
      </c>
      <c r="C37" s="6" t="s">
        <v>395</v>
      </c>
      <c r="D37" s="7" t="s">
        <v>60</v>
      </c>
      <c r="E37" s="6" t="s">
        <v>61</v>
      </c>
      <c r="F37" s="6" t="s">
        <v>62</v>
      </c>
      <c r="G37" s="6" t="s">
        <v>110</v>
      </c>
      <c r="H37" s="4" t="s">
        <v>396</v>
      </c>
      <c r="I37" s="8" t="s">
        <v>397</v>
      </c>
      <c r="J37" s="7" t="s">
        <v>398</v>
      </c>
      <c r="K37" s="9" t="str">
        <f aca="false">LEFT(J37,3)</f>
        <v>T25</v>
      </c>
      <c r="L37" s="7" t="s">
        <v>399</v>
      </c>
      <c r="M37" s="9" t="str">
        <f aca="false">IF(L37="",K37,K37&amp;"; "&amp;L37)</f>
        <v>T25; T22</v>
      </c>
      <c r="N37" s="9" t="str">
        <f aca="false">INDEX('Taxonomía temas'!$D$2:$D$54,MATCH(K37,'Taxonomía temas'!$A$2:$A$54,0))</f>
        <v>Salud y población</v>
      </c>
      <c r="O37" s="9" t="n">
        <f aca="false">INDEX('Taxonomía temas'!$F$2:$F$54,MATCH(K37,'Taxonomía temas'!$A$2:$A$54,0))</f>
        <v>17</v>
      </c>
      <c r="P37" s="7"/>
      <c r="Q37" s="7" t="s">
        <v>94</v>
      </c>
      <c r="R37" s="7" t="s">
        <v>68</v>
      </c>
      <c r="S37" s="7" t="s">
        <v>68</v>
      </c>
      <c r="T37" s="7" t="s">
        <v>68</v>
      </c>
      <c r="U37" s="7" t="s">
        <v>68</v>
      </c>
      <c r="V37" s="7"/>
      <c r="W37" s="9" t="str">
        <f aca="false">IF(V37="","No","Sí")</f>
        <v>No</v>
      </c>
      <c r="X37" s="6"/>
      <c r="Y37" s="6"/>
      <c r="Z37" s="6" t="s">
        <v>400</v>
      </c>
      <c r="AA37" s="6" t="s">
        <v>397</v>
      </c>
      <c r="AB37" s="6" t="s">
        <v>71</v>
      </c>
      <c r="AC37" s="6" t="s">
        <v>368</v>
      </c>
      <c r="AD37" s="6" t="s">
        <v>401</v>
      </c>
      <c r="AE37" s="6" t="s">
        <v>74</v>
      </c>
    </row>
    <row r="38" customFormat="false" ht="23.85" hidden="false" customHeight="false" outlineLevel="0" collapsed="false">
      <c r="A38" s="6" t="s">
        <v>402</v>
      </c>
      <c r="B38" s="4" t="s">
        <v>403</v>
      </c>
      <c r="C38" s="6" t="s">
        <v>404</v>
      </c>
      <c r="D38" s="7" t="s">
        <v>60</v>
      </c>
      <c r="E38" s="6" t="s">
        <v>405</v>
      </c>
      <c r="F38" s="6" t="s">
        <v>406</v>
      </c>
      <c r="G38" s="6" t="s">
        <v>407</v>
      </c>
      <c r="H38" s="4" t="s">
        <v>408</v>
      </c>
      <c r="I38" s="8" t="s">
        <v>409</v>
      </c>
      <c r="J38" s="7" t="s">
        <v>410</v>
      </c>
      <c r="K38" s="9" t="str">
        <f aca="false">LEFT(J38,3)</f>
        <v>T17</v>
      </c>
      <c r="L38" s="7" t="s">
        <v>411</v>
      </c>
      <c r="M38" s="9" t="str">
        <f aca="false">IF(L38="",K38,K38&amp;"; "&amp;L38)</f>
        <v>T17; T22; T27</v>
      </c>
      <c r="N38" s="9" t="str">
        <f aca="false">INDEX('Taxonomía temas'!$D$2:$D$54,MATCH(K38,'Taxonomía temas'!$A$2:$A$54,0))</f>
        <v>Trabajo y protección social</v>
      </c>
      <c r="O38" s="9" t="n">
        <f aca="false">INDEX('Taxonomía temas'!$F$2:$F$54,MATCH(K38,'Taxonomía temas'!$A$2:$A$54,0))</f>
        <v>1</v>
      </c>
      <c r="P38" s="7" t="s">
        <v>412</v>
      </c>
      <c r="Q38" s="7" t="s">
        <v>67</v>
      </c>
      <c r="R38" s="7" t="s">
        <v>68</v>
      </c>
      <c r="S38" s="7" t="s">
        <v>68</v>
      </c>
      <c r="T38" s="7" t="s">
        <v>68</v>
      </c>
      <c r="U38" s="7" t="s">
        <v>68</v>
      </c>
      <c r="V38" s="7" t="s">
        <v>413</v>
      </c>
      <c r="W38" s="9" t="str">
        <f aca="false">IF(V38="","No","Sí")</f>
        <v>Sí</v>
      </c>
      <c r="X38" s="6"/>
      <c r="Y38" s="6"/>
      <c r="Z38" s="6" t="s">
        <v>414</v>
      </c>
      <c r="AA38" s="6" t="s">
        <v>409</v>
      </c>
      <c r="AB38" s="6" t="s">
        <v>71</v>
      </c>
      <c r="AC38" s="6" t="s">
        <v>368</v>
      </c>
      <c r="AD38" s="6" t="s">
        <v>415</v>
      </c>
      <c r="AE38" s="6" t="s">
        <v>74</v>
      </c>
    </row>
    <row r="39" customFormat="false" ht="23.85" hidden="false" customHeight="false" outlineLevel="0" collapsed="false">
      <c r="A39" s="6" t="s">
        <v>416</v>
      </c>
      <c r="B39" s="4" t="s">
        <v>417</v>
      </c>
      <c r="C39" s="6" t="s">
        <v>395</v>
      </c>
      <c r="D39" s="7" t="s">
        <v>60</v>
      </c>
      <c r="E39" s="6" t="s">
        <v>61</v>
      </c>
      <c r="F39" s="6" t="s">
        <v>418</v>
      </c>
      <c r="G39" s="6" t="s">
        <v>60</v>
      </c>
      <c r="H39" s="4" t="s">
        <v>419</v>
      </c>
      <c r="I39" s="8" t="s">
        <v>420</v>
      </c>
      <c r="J39" s="7" t="s">
        <v>365</v>
      </c>
      <c r="K39" s="9" t="str">
        <f aca="false">LEFT(J39,3)</f>
        <v>T22</v>
      </c>
      <c r="L39" s="7" t="s">
        <v>166</v>
      </c>
      <c r="M39" s="9" t="str">
        <f aca="false">IF(L39="",K39,K39&amp;"; "&amp;L39)</f>
        <v>T22; T14</v>
      </c>
      <c r="N39" s="9" t="str">
        <f aca="false">INDEX('Taxonomía temas'!$D$2:$D$54,MATCH(K39,'Taxonomía temas'!$A$2:$A$54,0))</f>
        <v>Salud y población</v>
      </c>
      <c r="O39" s="9" t="n">
        <f aca="false">INDEX('Taxonomía temas'!$F$2:$F$54,MATCH(K39,'Taxonomía temas'!$A$2:$A$54,0))</f>
        <v>3</v>
      </c>
      <c r="P39" s="7"/>
      <c r="Q39" s="7" t="s">
        <v>94</v>
      </c>
      <c r="R39" s="7" t="s">
        <v>68</v>
      </c>
      <c r="S39" s="7" t="s">
        <v>68</v>
      </c>
      <c r="T39" s="7" t="s">
        <v>68</v>
      </c>
      <c r="U39" s="7" t="s">
        <v>68</v>
      </c>
      <c r="V39" s="7"/>
      <c r="W39" s="9" t="str">
        <f aca="false">IF(V39="","No","Sí")</f>
        <v>No</v>
      </c>
      <c r="X39" s="6"/>
      <c r="Y39" s="6"/>
      <c r="Z39" s="6" t="s">
        <v>421</v>
      </c>
      <c r="AA39" s="6" t="s">
        <v>420</v>
      </c>
      <c r="AB39" s="6" t="s">
        <v>71</v>
      </c>
      <c r="AC39" s="6" t="s">
        <v>368</v>
      </c>
      <c r="AD39" s="6" t="s">
        <v>422</v>
      </c>
      <c r="AE39" s="6" t="s">
        <v>74</v>
      </c>
    </row>
    <row r="40" customFormat="false" ht="23.85" hidden="false" customHeight="false" outlineLevel="0" collapsed="false">
      <c r="A40" s="6" t="s">
        <v>423</v>
      </c>
      <c r="B40" s="4" t="s">
        <v>424</v>
      </c>
      <c r="C40" s="6" t="s">
        <v>425</v>
      </c>
      <c r="D40" s="7" t="s">
        <v>60</v>
      </c>
      <c r="E40" s="6" t="s">
        <v>61</v>
      </c>
      <c r="F40" s="6" t="s">
        <v>62</v>
      </c>
      <c r="G40" s="6" t="s">
        <v>60</v>
      </c>
      <c r="H40" s="4" t="s">
        <v>426</v>
      </c>
      <c r="I40" s="8" t="s">
        <v>427</v>
      </c>
      <c r="J40" s="7" t="s">
        <v>428</v>
      </c>
      <c r="K40" s="9" t="str">
        <f aca="false">LEFT(J40,3)</f>
        <v>T18</v>
      </c>
      <c r="L40" s="7"/>
      <c r="M40" s="9" t="str">
        <f aca="false">IF(L40="",K40,K40&amp;"; "&amp;L40)</f>
        <v>T18</v>
      </c>
      <c r="N40" s="9" t="str">
        <f aca="false">INDEX('Taxonomía temas'!$D$2:$D$54,MATCH(K40,'Taxonomía temas'!$A$2:$A$54,0))</f>
        <v>Trabajo y protección social</v>
      </c>
      <c r="O40" s="9" t="n">
        <f aca="false">INDEX('Taxonomía temas'!$F$2:$F$54,MATCH(K40,'Taxonomía temas'!$A$2:$A$54,0))</f>
        <v>1</v>
      </c>
      <c r="P40" s="7" t="s">
        <v>429</v>
      </c>
      <c r="Q40" s="7" t="s">
        <v>94</v>
      </c>
      <c r="R40" s="7" t="s">
        <v>68</v>
      </c>
      <c r="S40" s="7" t="s">
        <v>68</v>
      </c>
      <c r="T40" s="7" t="s">
        <v>68</v>
      </c>
      <c r="U40" s="7" t="s">
        <v>68</v>
      </c>
      <c r="V40" s="7" t="s">
        <v>430</v>
      </c>
      <c r="W40" s="9" t="str">
        <f aca="false">IF(V40="","No","Sí")</f>
        <v>Sí</v>
      </c>
      <c r="X40" s="6"/>
      <c r="Y40" s="6"/>
      <c r="Z40" s="6" t="s">
        <v>431</v>
      </c>
      <c r="AA40" s="6" t="s">
        <v>427</v>
      </c>
      <c r="AB40" s="6" t="s">
        <v>71</v>
      </c>
      <c r="AC40" s="6" t="s">
        <v>368</v>
      </c>
      <c r="AD40" s="6" t="s">
        <v>432</v>
      </c>
      <c r="AE40" s="6" t="s">
        <v>74</v>
      </c>
    </row>
    <row r="41" customFormat="false" ht="23.85" hidden="false" customHeight="false" outlineLevel="0" collapsed="false">
      <c r="A41" s="6" t="s">
        <v>433</v>
      </c>
      <c r="B41" s="4" t="s">
        <v>434</v>
      </c>
      <c r="C41" s="6" t="s">
        <v>435</v>
      </c>
      <c r="D41" s="7" t="s">
        <v>60</v>
      </c>
      <c r="E41" s="6" t="s">
        <v>61</v>
      </c>
      <c r="F41" s="6" t="s">
        <v>242</v>
      </c>
      <c r="G41" s="6" t="s">
        <v>60</v>
      </c>
      <c r="H41" s="4" t="s">
        <v>436</v>
      </c>
      <c r="I41" s="8" t="s">
        <v>437</v>
      </c>
      <c r="J41" s="7" t="s">
        <v>438</v>
      </c>
      <c r="K41" s="9" t="str">
        <f aca="false">LEFT(J41,3)</f>
        <v>T48</v>
      </c>
      <c r="L41" s="7" t="s">
        <v>439</v>
      </c>
      <c r="M41" s="9" t="str">
        <f aca="false">IF(L41="",K41,K41&amp;"; "&amp;L41)</f>
        <v>T48; T40; T22; T27; T32</v>
      </c>
      <c r="N41" s="9" t="str">
        <f aca="false">INDEX('Taxonomía temas'!$D$2:$D$54,MATCH(K41,'Taxonomía temas'!$A$2:$A$54,0))</f>
        <v>Estado, gobierno y derechos</v>
      </c>
      <c r="O41" s="9" t="n">
        <f aca="false">INDEX('Taxonomía temas'!$F$2:$F$54,MATCH(K41,'Taxonomía temas'!$A$2:$A$54,0))</f>
        <v>16</v>
      </c>
      <c r="P41" s="7" t="s">
        <v>440</v>
      </c>
      <c r="Q41" s="7" t="s">
        <v>67</v>
      </c>
      <c r="R41" s="7" t="s">
        <v>68</v>
      </c>
      <c r="S41" s="7" t="s">
        <v>68</v>
      </c>
      <c r="T41" s="7" t="s">
        <v>68</v>
      </c>
      <c r="U41" s="7" t="s">
        <v>68</v>
      </c>
      <c r="V41" s="7"/>
      <c r="W41" s="9" t="str">
        <f aca="false">IF(V41="","No","Sí")</f>
        <v>No</v>
      </c>
      <c r="X41" s="6"/>
      <c r="Y41" s="6"/>
      <c r="Z41" s="6" t="s">
        <v>441</v>
      </c>
      <c r="AA41" s="6" t="s">
        <v>442</v>
      </c>
      <c r="AB41" s="6" t="s">
        <v>71</v>
      </c>
      <c r="AC41" s="6" t="s">
        <v>368</v>
      </c>
      <c r="AD41" s="6" t="s">
        <v>443</v>
      </c>
      <c r="AE41" s="6" t="s">
        <v>74</v>
      </c>
    </row>
    <row r="42" customFormat="false" ht="23.85" hidden="false" customHeight="false" outlineLevel="0" collapsed="false">
      <c r="A42" s="6" t="s">
        <v>444</v>
      </c>
      <c r="B42" s="4" t="s">
        <v>445</v>
      </c>
      <c r="C42" s="6" t="s">
        <v>446</v>
      </c>
      <c r="D42" s="7" t="s">
        <v>60</v>
      </c>
      <c r="E42" s="6" t="s">
        <v>61</v>
      </c>
      <c r="F42" s="6" t="s">
        <v>196</v>
      </c>
      <c r="G42" s="6" t="s">
        <v>60</v>
      </c>
      <c r="H42" s="4" t="s">
        <v>447</v>
      </c>
      <c r="I42" s="8" t="s">
        <v>448</v>
      </c>
      <c r="J42" s="7" t="s">
        <v>449</v>
      </c>
      <c r="K42" s="9" t="str">
        <f aca="false">LEFT(J42,3)</f>
        <v>T15</v>
      </c>
      <c r="L42" s="7"/>
      <c r="M42" s="9" t="str">
        <f aca="false">IF(L42="",K42,K42&amp;"; "&amp;L42)</f>
        <v>T15</v>
      </c>
      <c r="N42" s="9" t="str">
        <f aca="false">INDEX('Taxonomía temas'!$D$2:$D$54,MATCH(K42,'Taxonomía temas'!$A$2:$A$54,0))</f>
        <v>Trabajo y protección social</v>
      </c>
      <c r="O42" s="9" t="n">
        <f aca="false">INDEX('Taxonomía temas'!$F$2:$F$54,MATCH(K42,'Taxonomía temas'!$A$2:$A$54,0))</f>
        <v>8</v>
      </c>
      <c r="P42" s="7"/>
      <c r="Q42" s="7" t="s">
        <v>177</v>
      </c>
      <c r="R42" s="7" t="s">
        <v>68</v>
      </c>
      <c r="S42" s="7" t="s">
        <v>68</v>
      </c>
      <c r="T42" s="7" t="s">
        <v>68</v>
      </c>
      <c r="U42" s="7" t="s">
        <v>68</v>
      </c>
      <c r="V42" s="7"/>
      <c r="W42" s="9" t="str">
        <f aca="false">IF(V42="","No","Sí")</f>
        <v>No</v>
      </c>
      <c r="X42" s="6"/>
      <c r="Y42" s="6"/>
      <c r="Z42" s="6" t="s">
        <v>450</v>
      </c>
      <c r="AA42" s="6" t="s">
        <v>448</v>
      </c>
      <c r="AB42" s="6" t="s">
        <v>71</v>
      </c>
      <c r="AC42" s="6" t="s">
        <v>368</v>
      </c>
      <c r="AD42" s="6" t="s">
        <v>451</v>
      </c>
      <c r="AE42" s="6" t="s">
        <v>74</v>
      </c>
    </row>
    <row r="43" customFormat="false" ht="23.85" hidden="false" customHeight="false" outlineLevel="0" collapsed="false">
      <c r="A43" s="6" t="s">
        <v>452</v>
      </c>
      <c r="B43" s="4" t="s">
        <v>453</v>
      </c>
      <c r="C43" s="6" t="s">
        <v>454</v>
      </c>
      <c r="D43" s="7" t="s">
        <v>60</v>
      </c>
      <c r="E43" s="6" t="s">
        <v>78</v>
      </c>
      <c r="F43" s="6" t="s">
        <v>62</v>
      </c>
      <c r="G43" s="6" t="s">
        <v>60</v>
      </c>
      <c r="H43" s="4" t="s">
        <v>455</v>
      </c>
      <c r="I43" s="8" t="s">
        <v>456</v>
      </c>
      <c r="J43" s="7" t="s">
        <v>457</v>
      </c>
      <c r="K43" s="9" t="str">
        <f aca="false">LEFT(J43,3)</f>
        <v>T24</v>
      </c>
      <c r="L43" s="7"/>
      <c r="M43" s="9" t="str">
        <f aca="false">IF(L43="",K43,K43&amp;"; "&amp;L43)</f>
        <v>T24</v>
      </c>
      <c r="N43" s="9" t="str">
        <f aca="false">INDEX('Taxonomía temas'!$D$2:$D$54,MATCH(K43,'Taxonomía temas'!$A$2:$A$54,0))</f>
        <v>Salud y población</v>
      </c>
      <c r="O43" s="9" t="n">
        <f aca="false">INDEX('Taxonomía temas'!$F$2:$F$54,MATCH(K43,'Taxonomía temas'!$A$2:$A$54,0))</f>
        <v>3</v>
      </c>
      <c r="P43" s="7"/>
      <c r="Q43" s="7" t="s">
        <v>94</v>
      </c>
      <c r="R43" s="7" t="s">
        <v>68</v>
      </c>
      <c r="S43" s="7" t="s">
        <v>68</v>
      </c>
      <c r="T43" s="7" t="s">
        <v>68</v>
      </c>
      <c r="U43" s="7" t="s">
        <v>68</v>
      </c>
      <c r="V43" s="7" t="s">
        <v>458</v>
      </c>
      <c r="W43" s="9" t="str">
        <f aca="false">IF(V43="","No","Sí")</f>
        <v>Sí</v>
      </c>
      <c r="X43" s="6" t="s">
        <v>459</v>
      </c>
      <c r="Y43" s="6"/>
      <c r="Z43" s="6" t="s">
        <v>460</v>
      </c>
      <c r="AA43" s="4" t="s">
        <v>461</v>
      </c>
      <c r="AB43" s="6" t="s">
        <v>71</v>
      </c>
      <c r="AC43" s="6" t="s">
        <v>368</v>
      </c>
      <c r="AD43" s="6" t="s">
        <v>462</v>
      </c>
      <c r="AE43" s="6" t="s">
        <v>74</v>
      </c>
    </row>
    <row r="44" customFormat="false" ht="23.85" hidden="false" customHeight="false" outlineLevel="0" collapsed="false">
      <c r="A44" s="6" t="s">
        <v>463</v>
      </c>
      <c r="B44" s="4" t="s">
        <v>464</v>
      </c>
      <c r="C44" s="6" t="s">
        <v>465</v>
      </c>
      <c r="D44" s="7" t="s">
        <v>60</v>
      </c>
      <c r="E44" s="6" t="s">
        <v>61</v>
      </c>
      <c r="F44" s="6" t="s">
        <v>242</v>
      </c>
      <c r="G44" s="6" t="s">
        <v>60</v>
      </c>
      <c r="H44" s="4" t="s">
        <v>466</v>
      </c>
      <c r="I44" s="8" t="s">
        <v>467</v>
      </c>
      <c r="J44" s="7" t="s">
        <v>468</v>
      </c>
      <c r="K44" s="9" t="str">
        <f aca="false">LEFT(J44,3)</f>
        <v>T16</v>
      </c>
      <c r="L44" s="7"/>
      <c r="M44" s="9" t="str">
        <f aca="false">IF(L44="",K44,K44&amp;"; "&amp;L44)</f>
        <v>T16</v>
      </c>
      <c r="N44" s="9" t="str">
        <f aca="false">INDEX('Taxonomía temas'!$D$2:$D$54,MATCH(K44,'Taxonomía temas'!$A$2:$A$54,0))</f>
        <v>Trabajo y protección social</v>
      </c>
      <c r="O44" s="9" t="n">
        <f aca="false">INDEX('Taxonomía temas'!$F$2:$F$54,MATCH(K44,'Taxonomía temas'!$A$2:$A$54,0))</f>
        <v>1</v>
      </c>
      <c r="P44" s="7"/>
      <c r="Q44" s="7" t="s">
        <v>67</v>
      </c>
      <c r="R44" s="7" t="s">
        <v>68</v>
      </c>
      <c r="S44" s="7" t="s">
        <v>68</v>
      </c>
      <c r="T44" s="7" t="s">
        <v>68</v>
      </c>
      <c r="U44" s="7" t="s">
        <v>68</v>
      </c>
      <c r="V44" s="7" t="s">
        <v>469</v>
      </c>
      <c r="W44" s="9" t="str">
        <f aca="false">IF(V44="","No","Sí")</f>
        <v>Sí</v>
      </c>
      <c r="X44" s="6" t="s">
        <v>470</v>
      </c>
      <c r="Y44" s="6"/>
      <c r="Z44" s="6" t="s">
        <v>471</v>
      </c>
      <c r="AA44" s="6" t="s">
        <v>472</v>
      </c>
      <c r="AB44" s="6" t="s">
        <v>71</v>
      </c>
      <c r="AC44" s="6" t="s">
        <v>368</v>
      </c>
      <c r="AD44" s="6" t="s">
        <v>473</v>
      </c>
      <c r="AE44" s="6" t="s">
        <v>74</v>
      </c>
    </row>
    <row r="45" customFormat="false" ht="23.85" hidden="false" customHeight="false" outlineLevel="0" collapsed="false">
      <c r="A45" s="6" t="s">
        <v>474</v>
      </c>
      <c r="B45" s="4" t="s">
        <v>475</v>
      </c>
      <c r="C45" s="6" t="s">
        <v>285</v>
      </c>
      <c r="D45" s="7" t="s">
        <v>286</v>
      </c>
      <c r="E45" s="6" t="s">
        <v>287</v>
      </c>
      <c r="F45" s="6" t="s">
        <v>212</v>
      </c>
      <c r="G45" s="6" t="s">
        <v>288</v>
      </c>
      <c r="H45" s="4" t="s">
        <v>476</v>
      </c>
      <c r="I45" s="8" t="s">
        <v>477</v>
      </c>
      <c r="J45" s="7" t="s">
        <v>478</v>
      </c>
      <c r="K45" s="9" t="str">
        <f aca="false">LEFT(J45,3)</f>
        <v>T30</v>
      </c>
      <c r="L45" s="7"/>
      <c r="M45" s="9" t="str">
        <f aca="false">IF(L45="",K45,K45&amp;"; "&amp;L45)</f>
        <v>T30</v>
      </c>
      <c r="N45" s="9" t="str">
        <f aca="false">INDEX('Taxonomía temas'!$D$2:$D$54,MATCH(K45,'Taxonomía temas'!$A$2:$A$54,0))</f>
        <v>Educación, cultura y deporte</v>
      </c>
      <c r="O45" s="9" t="n">
        <f aca="false">INDEX('Taxonomía temas'!$F$2:$F$54,MATCH(K45,'Taxonomía temas'!$A$2:$A$54,0))</f>
        <v>11</v>
      </c>
      <c r="P45" s="7" t="s">
        <v>253</v>
      </c>
      <c r="Q45" s="7" t="s">
        <v>177</v>
      </c>
      <c r="R45" s="7" t="s">
        <v>68</v>
      </c>
      <c r="S45" s="7" t="s">
        <v>68</v>
      </c>
      <c r="T45" s="7" t="s">
        <v>224</v>
      </c>
      <c r="U45" s="7" t="s">
        <v>68</v>
      </c>
      <c r="V45" s="7"/>
      <c r="W45" s="9" t="str">
        <f aca="false">IF(V45="","No","Sí")</f>
        <v>No</v>
      </c>
      <c r="X45" s="6"/>
      <c r="Y45" s="6" t="s">
        <v>292</v>
      </c>
      <c r="Z45" s="6" t="s">
        <v>479</v>
      </c>
      <c r="AA45" s="6" t="s">
        <v>477</v>
      </c>
      <c r="AB45" s="6" t="s">
        <v>71</v>
      </c>
      <c r="AC45" s="6" t="s">
        <v>368</v>
      </c>
      <c r="AD45" s="6" t="s">
        <v>480</v>
      </c>
      <c r="AE45" s="6" t="s">
        <v>74</v>
      </c>
    </row>
    <row r="46" customFormat="false" ht="23.85" hidden="false" customHeight="false" outlineLevel="0" collapsed="false">
      <c r="A46" s="6" t="s">
        <v>481</v>
      </c>
      <c r="B46" s="4" t="s">
        <v>482</v>
      </c>
      <c r="C46" s="6" t="s">
        <v>483</v>
      </c>
      <c r="D46" s="7" t="s">
        <v>60</v>
      </c>
      <c r="E46" s="6" t="s">
        <v>195</v>
      </c>
      <c r="F46" s="6" t="s">
        <v>242</v>
      </c>
      <c r="G46" s="6" t="s">
        <v>484</v>
      </c>
      <c r="H46" s="4" t="s">
        <v>485</v>
      </c>
      <c r="I46" s="8" t="s">
        <v>486</v>
      </c>
      <c r="J46" s="7" t="s">
        <v>487</v>
      </c>
      <c r="K46" s="9" t="str">
        <f aca="false">LEFT(J46,3)</f>
        <v>T29</v>
      </c>
      <c r="L46" s="7"/>
      <c r="M46" s="9" t="str">
        <f aca="false">IF(L46="",K46,K46&amp;"; "&amp;L46)</f>
        <v>T29</v>
      </c>
      <c r="N46" s="9" t="str">
        <f aca="false">INDEX('Taxonomía temas'!$D$2:$D$54,MATCH(K46,'Taxonomía temas'!$A$2:$A$54,0))</f>
        <v>Educación, cultura y deporte</v>
      </c>
      <c r="O46" s="9" t="n">
        <f aca="false">INDEX('Taxonomía temas'!$F$2:$F$54,MATCH(K46,'Taxonomía temas'!$A$2:$A$54,0))</f>
        <v>4</v>
      </c>
      <c r="P46" s="7" t="s">
        <v>223</v>
      </c>
      <c r="Q46" s="7" t="s">
        <v>67</v>
      </c>
      <c r="R46" s="7" t="s">
        <v>68</v>
      </c>
      <c r="S46" s="7" t="s">
        <v>68</v>
      </c>
      <c r="T46" s="7" t="s">
        <v>68</v>
      </c>
      <c r="U46" s="7" t="s">
        <v>224</v>
      </c>
      <c r="V46" s="7"/>
      <c r="W46" s="9" t="str">
        <f aca="false">IF(V46="","No","Sí")</f>
        <v>No</v>
      </c>
      <c r="X46" s="6"/>
      <c r="Y46" s="6"/>
      <c r="Z46" s="6" t="s">
        <v>488</v>
      </c>
      <c r="AA46" s="4" t="s">
        <v>489</v>
      </c>
      <c r="AB46" s="6" t="s">
        <v>71</v>
      </c>
      <c r="AC46" s="6" t="s">
        <v>368</v>
      </c>
      <c r="AD46" s="6" t="s">
        <v>490</v>
      </c>
      <c r="AE46" s="6" t="s">
        <v>74</v>
      </c>
    </row>
    <row r="47" customFormat="false" ht="23.85" hidden="false" customHeight="false" outlineLevel="0" collapsed="false">
      <c r="A47" s="6" t="s">
        <v>491</v>
      </c>
      <c r="B47" s="4" t="s">
        <v>492</v>
      </c>
      <c r="C47" s="6" t="s">
        <v>285</v>
      </c>
      <c r="D47" s="7" t="s">
        <v>286</v>
      </c>
      <c r="E47" s="6" t="s">
        <v>287</v>
      </c>
      <c r="F47" s="6" t="s">
        <v>212</v>
      </c>
      <c r="G47" s="6" t="s">
        <v>288</v>
      </c>
      <c r="H47" s="4" t="s">
        <v>493</v>
      </c>
      <c r="I47" s="8" t="s">
        <v>494</v>
      </c>
      <c r="J47" s="7" t="s">
        <v>410</v>
      </c>
      <c r="K47" s="9" t="str">
        <f aca="false">LEFT(J47,3)</f>
        <v>T17</v>
      </c>
      <c r="L47" s="7" t="s">
        <v>495</v>
      </c>
      <c r="M47" s="9" t="str">
        <f aca="false">IF(L47="",K47,K47&amp;"; "&amp;L47)</f>
        <v>T17; T46</v>
      </c>
      <c r="N47" s="9" t="str">
        <f aca="false">INDEX('Taxonomía temas'!$D$2:$D$54,MATCH(K47,'Taxonomía temas'!$A$2:$A$54,0))</f>
        <v>Trabajo y protección social</v>
      </c>
      <c r="O47" s="9" t="n">
        <f aca="false">INDEX('Taxonomía temas'!$F$2:$F$54,MATCH(K47,'Taxonomía temas'!$A$2:$A$54,0))</f>
        <v>1</v>
      </c>
      <c r="P47" s="7" t="s">
        <v>496</v>
      </c>
      <c r="Q47" s="7" t="s">
        <v>177</v>
      </c>
      <c r="R47" s="7" t="s">
        <v>68</v>
      </c>
      <c r="S47" s="7" t="s">
        <v>68</v>
      </c>
      <c r="T47" s="7" t="s">
        <v>224</v>
      </c>
      <c r="U47" s="7" t="s">
        <v>224</v>
      </c>
      <c r="V47" s="7"/>
      <c r="W47" s="9" t="str">
        <f aca="false">IF(V47="","No","Sí")</f>
        <v>No</v>
      </c>
      <c r="X47" s="6"/>
      <c r="Y47" s="6" t="s">
        <v>292</v>
      </c>
      <c r="Z47" s="6" t="s">
        <v>497</v>
      </c>
      <c r="AA47" s="6" t="s">
        <v>494</v>
      </c>
      <c r="AB47" s="6" t="s">
        <v>71</v>
      </c>
      <c r="AC47" s="6" t="s">
        <v>368</v>
      </c>
      <c r="AD47" s="6" t="s">
        <v>498</v>
      </c>
      <c r="AE47" s="6" t="s">
        <v>74</v>
      </c>
    </row>
    <row r="48" customFormat="false" ht="23.85" hidden="false" customHeight="false" outlineLevel="0" collapsed="false">
      <c r="A48" s="6" t="s">
        <v>499</v>
      </c>
      <c r="B48" s="4" t="s">
        <v>500</v>
      </c>
      <c r="C48" s="6" t="s">
        <v>501</v>
      </c>
      <c r="D48" s="7" t="s">
        <v>60</v>
      </c>
      <c r="E48" s="6" t="s">
        <v>502</v>
      </c>
      <c r="F48" s="6" t="s">
        <v>242</v>
      </c>
      <c r="G48" s="6" t="s">
        <v>60</v>
      </c>
      <c r="H48" s="4" t="s">
        <v>503</v>
      </c>
      <c r="I48" s="8" t="s">
        <v>504</v>
      </c>
      <c r="J48" s="7" t="s">
        <v>410</v>
      </c>
      <c r="K48" s="9" t="str">
        <f aca="false">LEFT(J48,3)</f>
        <v>T17</v>
      </c>
      <c r="L48" s="7" t="s">
        <v>505</v>
      </c>
      <c r="M48" s="9" t="str">
        <f aca="false">IF(L48="",K48,K48&amp;"; "&amp;L48)</f>
        <v>T17; T18; T27</v>
      </c>
      <c r="N48" s="9" t="str">
        <f aca="false">INDEX('Taxonomía temas'!$D$2:$D$54,MATCH(K48,'Taxonomía temas'!$A$2:$A$54,0))</f>
        <v>Trabajo y protección social</v>
      </c>
      <c r="O48" s="9" t="n">
        <f aca="false">INDEX('Taxonomía temas'!$F$2:$F$54,MATCH(K48,'Taxonomía temas'!$A$2:$A$54,0))</f>
        <v>1</v>
      </c>
      <c r="P48" s="7" t="s">
        <v>412</v>
      </c>
      <c r="Q48" s="7" t="s">
        <v>67</v>
      </c>
      <c r="R48" s="7" t="s">
        <v>68</v>
      </c>
      <c r="S48" s="7" t="s">
        <v>68</v>
      </c>
      <c r="T48" s="7" t="s">
        <v>68</v>
      </c>
      <c r="U48" s="7" t="s">
        <v>68</v>
      </c>
      <c r="V48" s="7"/>
      <c r="W48" s="9" t="str">
        <f aca="false">IF(V48="","No","Sí")</f>
        <v>No</v>
      </c>
      <c r="X48" s="6"/>
      <c r="Y48" s="6"/>
      <c r="Z48" s="6" t="s">
        <v>506</v>
      </c>
      <c r="AA48" s="6" t="s">
        <v>504</v>
      </c>
      <c r="AB48" s="6" t="s">
        <v>71</v>
      </c>
      <c r="AC48" s="6" t="s">
        <v>368</v>
      </c>
      <c r="AD48" s="6" t="s">
        <v>507</v>
      </c>
      <c r="AE48" s="6" t="s">
        <v>74</v>
      </c>
    </row>
    <row r="49" customFormat="false" ht="23.85" hidden="false" customHeight="false" outlineLevel="0" collapsed="false">
      <c r="A49" s="6" t="s">
        <v>508</v>
      </c>
      <c r="B49" s="4" t="s">
        <v>509</v>
      </c>
      <c r="C49" s="6" t="s">
        <v>510</v>
      </c>
      <c r="D49" s="7" t="s">
        <v>286</v>
      </c>
      <c r="E49" s="6" t="s">
        <v>287</v>
      </c>
      <c r="F49" s="6" t="s">
        <v>242</v>
      </c>
      <c r="G49" s="6" t="s">
        <v>511</v>
      </c>
      <c r="H49" s="4" t="s">
        <v>512</v>
      </c>
      <c r="I49" s="8" t="s">
        <v>513</v>
      </c>
      <c r="J49" s="7" t="s">
        <v>514</v>
      </c>
      <c r="K49" s="9" t="str">
        <f aca="false">LEFT(J49,3)</f>
        <v>T26</v>
      </c>
      <c r="L49" s="7"/>
      <c r="M49" s="9" t="str">
        <f aca="false">IF(L49="",K49,K49&amp;"; "&amp;L49)</f>
        <v>T26</v>
      </c>
      <c r="N49" s="9" t="str">
        <f aca="false">INDEX('Taxonomía temas'!$D$2:$D$54,MATCH(K49,'Taxonomía temas'!$A$2:$A$54,0))</f>
        <v>Salud y población</v>
      </c>
      <c r="O49" s="9" t="n">
        <f aca="false">INDEX('Taxonomía temas'!$F$2:$F$54,MATCH(K49,'Taxonomía temas'!$A$2:$A$54,0))</f>
        <v>10</v>
      </c>
      <c r="P49" s="7" t="s">
        <v>515</v>
      </c>
      <c r="Q49" s="7" t="s">
        <v>67</v>
      </c>
      <c r="R49" s="7" t="s">
        <v>68</v>
      </c>
      <c r="S49" s="7" t="s">
        <v>68</v>
      </c>
      <c r="T49" s="7" t="s">
        <v>224</v>
      </c>
      <c r="U49" s="7" t="s">
        <v>68</v>
      </c>
      <c r="V49" s="7"/>
      <c r="W49" s="9" t="str">
        <f aca="false">IF(V49="","No","Sí")</f>
        <v>No</v>
      </c>
      <c r="X49" s="6"/>
      <c r="Y49" s="6"/>
      <c r="Z49" s="6" t="s">
        <v>516</v>
      </c>
      <c r="AA49" s="6" t="s">
        <v>513</v>
      </c>
      <c r="AB49" s="6" t="s">
        <v>71</v>
      </c>
      <c r="AC49" s="6" t="s">
        <v>368</v>
      </c>
      <c r="AD49" s="6" t="s">
        <v>517</v>
      </c>
      <c r="AE49" s="6" t="s">
        <v>74</v>
      </c>
    </row>
    <row r="50" customFormat="false" ht="23.85" hidden="false" customHeight="false" outlineLevel="0" collapsed="false">
      <c r="A50" s="6" t="s">
        <v>518</v>
      </c>
      <c r="B50" s="4" t="s">
        <v>519</v>
      </c>
      <c r="C50" s="6" t="s">
        <v>483</v>
      </c>
      <c r="D50" s="7" t="s">
        <v>60</v>
      </c>
      <c r="E50" s="6" t="s">
        <v>195</v>
      </c>
      <c r="F50" s="6" t="s">
        <v>242</v>
      </c>
      <c r="G50" s="6" t="s">
        <v>60</v>
      </c>
      <c r="H50" s="4" t="s">
        <v>520</v>
      </c>
      <c r="I50" s="8" t="s">
        <v>521</v>
      </c>
      <c r="J50" s="7" t="s">
        <v>514</v>
      </c>
      <c r="K50" s="9" t="str">
        <f aca="false">LEFT(J50,3)</f>
        <v>T26</v>
      </c>
      <c r="L50" s="7" t="s">
        <v>522</v>
      </c>
      <c r="M50" s="9" t="str">
        <f aca="false">IF(L50="",K50,K50&amp;"; "&amp;L50)</f>
        <v>T26; T25</v>
      </c>
      <c r="N50" s="9" t="str">
        <f aca="false">INDEX('Taxonomía temas'!$D$2:$D$54,MATCH(K50,'Taxonomía temas'!$A$2:$A$54,0))</f>
        <v>Salud y población</v>
      </c>
      <c r="O50" s="9" t="n">
        <f aca="false">INDEX('Taxonomía temas'!$F$2:$F$54,MATCH(K50,'Taxonomía temas'!$A$2:$A$54,0))</f>
        <v>10</v>
      </c>
      <c r="P50" s="7" t="s">
        <v>523</v>
      </c>
      <c r="Q50" s="7" t="s">
        <v>67</v>
      </c>
      <c r="R50" s="7" t="s">
        <v>68</v>
      </c>
      <c r="S50" s="7" t="s">
        <v>68</v>
      </c>
      <c r="T50" s="7" t="s">
        <v>68</v>
      </c>
      <c r="U50" s="7" t="s">
        <v>68</v>
      </c>
      <c r="V50" s="7"/>
      <c r="W50" s="9" t="str">
        <f aca="false">IF(V50="","No","Sí")</f>
        <v>No</v>
      </c>
      <c r="X50" s="6"/>
      <c r="Y50" s="6"/>
      <c r="Z50" s="6" t="s">
        <v>524</v>
      </c>
      <c r="AA50" s="6" t="s">
        <v>521</v>
      </c>
      <c r="AB50" s="6" t="s">
        <v>71</v>
      </c>
      <c r="AC50" s="6" t="s">
        <v>368</v>
      </c>
      <c r="AD50" s="6" t="s">
        <v>525</v>
      </c>
      <c r="AE50" s="6" t="s">
        <v>74</v>
      </c>
    </row>
    <row r="51" customFormat="false" ht="23.85" hidden="false" customHeight="false" outlineLevel="0" collapsed="false">
      <c r="A51" s="6" t="s">
        <v>526</v>
      </c>
      <c r="B51" s="4" t="s">
        <v>527</v>
      </c>
      <c r="C51" s="6" t="s">
        <v>285</v>
      </c>
      <c r="D51" s="7" t="s">
        <v>286</v>
      </c>
      <c r="E51" s="6" t="s">
        <v>287</v>
      </c>
      <c r="F51" s="6" t="s">
        <v>212</v>
      </c>
      <c r="G51" s="6" t="s">
        <v>288</v>
      </c>
      <c r="H51" s="4" t="s">
        <v>528</v>
      </c>
      <c r="I51" s="8" t="s">
        <v>529</v>
      </c>
      <c r="J51" s="7" t="s">
        <v>365</v>
      </c>
      <c r="K51" s="9" t="str">
        <f aca="false">LEFT(J51,3)</f>
        <v>T22</v>
      </c>
      <c r="L51" s="7"/>
      <c r="M51" s="9" t="str">
        <f aca="false">IF(L51="",K51,K51&amp;"; "&amp;L51)</f>
        <v>T22</v>
      </c>
      <c r="N51" s="9" t="str">
        <f aca="false">INDEX('Taxonomía temas'!$D$2:$D$54,MATCH(K51,'Taxonomía temas'!$A$2:$A$54,0))</f>
        <v>Salud y población</v>
      </c>
      <c r="O51" s="9" t="n">
        <f aca="false">INDEX('Taxonomía temas'!$F$2:$F$54,MATCH(K51,'Taxonomía temas'!$A$2:$A$54,0))</f>
        <v>3</v>
      </c>
      <c r="P51" s="7" t="s">
        <v>253</v>
      </c>
      <c r="Q51" s="7" t="s">
        <v>177</v>
      </c>
      <c r="R51" s="7" t="s">
        <v>68</v>
      </c>
      <c r="S51" s="7" t="s">
        <v>68</v>
      </c>
      <c r="T51" s="7" t="s">
        <v>224</v>
      </c>
      <c r="U51" s="7" t="s">
        <v>68</v>
      </c>
      <c r="V51" s="7"/>
      <c r="W51" s="9" t="str">
        <f aca="false">IF(V51="","No","Sí")</f>
        <v>No</v>
      </c>
      <c r="X51" s="6"/>
      <c r="Y51" s="6" t="s">
        <v>292</v>
      </c>
      <c r="Z51" s="6" t="s">
        <v>530</v>
      </c>
      <c r="AA51" s="6" t="s">
        <v>529</v>
      </c>
      <c r="AB51" s="6" t="s">
        <v>71</v>
      </c>
      <c r="AC51" s="6" t="s">
        <v>368</v>
      </c>
      <c r="AD51" s="6" t="s">
        <v>531</v>
      </c>
      <c r="AE51" s="6" t="s">
        <v>74</v>
      </c>
    </row>
    <row r="52" customFormat="false" ht="23.85" hidden="false" customHeight="false" outlineLevel="0" collapsed="false">
      <c r="A52" s="6" t="s">
        <v>532</v>
      </c>
      <c r="B52" s="4" t="s">
        <v>533</v>
      </c>
      <c r="C52" s="6" t="s">
        <v>534</v>
      </c>
      <c r="D52" s="7" t="s">
        <v>60</v>
      </c>
      <c r="E52" s="6" t="s">
        <v>61</v>
      </c>
      <c r="F52" s="6" t="s">
        <v>242</v>
      </c>
      <c r="G52" s="6" t="s">
        <v>60</v>
      </c>
      <c r="H52" s="4" t="s">
        <v>535</v>
      </c>
      <c r="I52" s="8" t="s">
        <v>536</v>
      </c>
      <c r="J52" s="7" t="s">
        <v>537</v>
      </c>
      <c r="K52" s="9" t="str">
        <f aca="false">LEFT(J52,3)</f>
        <v>T20</v>
      </c>
      <c r="L52" s="7" t="s">
        <v>538</v>
      </c>
      <c r="M52" s="9" t="str">
        <f aca="false">IF(L52="",K52,K52&amp;"; "&amp;L52)</f>
        <v>T20; T17</v>
      </c>
      <c r="N52" s="9" t="str">
        <f aca="false">INDEX('Taxonomía temas'!$D$2:$D$54,MATCH(K52,'Taxonomía temas'!$A$2:$A$54,0))</f>
        <v>Trabajo y protección social</v>
      </c>
      <c r="O52" s="9" t="n">
        <f aca="false">INDEX('Taxonomía temas'!$F$2:$F$54,MATCH(K52,'Taxonomía temas'!$A$2:$A$54,0))</f>
        <v>2</v>
      </c>
      <c r="P52" s="7"/>
      <c r="Q52" s="7" t="s">
        <v>67</v>
      </c>
      <c r="R52" s="7" t="s">
        <v>68</v>
      </c>
      <c r="S52" s="7" t="s">
        <v>68</v>
      </c>
      <c r="T52" s="7" t="s">
        <v>68</v>
      </c>
      <c r="U52" s="7" t="s">
        <v>68</v>
      </c>
      <c r="V52" s="7" t="s">
        <v>539</v>
      </c>
      <c r="W52" s="9" t="str">
        <f aca="false">IF(V52="","No","Sí")</f>
        <v>Sí</v>
      </c>
      <c r="X52" s="6"/>
      <c r="Y52" s="6"/>
      <c r="Z52" s="6" t="s">
        <v>540</v>
      </c>
      <c r="AA52" s="6" t="s">
        <v>536</v>
      </c>
      <c r="AB52" s="6" t="s">
        <v>71</v>
      </c>
      <c r="AC52" s="6" t="s">
        <v>368</v>
      </c>
      <c r="AD52" s="6" t="s">
        <v>541</v>
      </c>
      <c r="AE52" s="6" t="s">
        <v>74</v>
      </c>
    </row>
    <row r="53" customFormat="false" ht="15" hidden="false" customHeight="false" outlineLevel="0" collapsed="false">
      <c r="A53" s="6" t="s">
        <v>542</v>
      </c>
      <c r="B53" s="4" t="s">
        <v>543</v>
      </c>
      <c r="C53" s="6" t="s">
        <v>544</v>
      </c>
      <c r="D53" s="7" t="s">
        <v>60</v>
      </c>
      <c r="E53" s="6" t="s">
        <v>545</v>
      </c>
      <c r="F53" s="6" t="s">
        <v>242</v>
      </c>
      <c r="G53" s="6" t="s">
        <v>60</v>
      </c>
      <c r="H53" s="4" t="s">
        <v>546</v>
      </c>
      <c r="I53" s="8" t="s">
        <v>547</v>
      </c>
      <c r="J53" s="7" t="s">
        <v>468</v>
      </c>
      <c r="K53" s="9" t="str">
        <f aca="false">LEFT(J53,3)</f>
        <v>T16</v>
      </c>
      <c r="L53" s="7" t="s">
        <v>166</v>
      </c>
      <c r="M53" s="9" t="str">
        <f aca="false">IF(L53="",K53,K53&amp;"; "&amp;L53)</f>
        <v>T16; T14</v>
      </c>
      <c r="N53" s="9" t="str">
        <f aca="false">INDEX('Taxonomía temas'!$D$2:$D$54,MATCH(K53,'Taxonomía temas'!$A$2:$A$54,0))</f>
        <v>Trabajo y protección social</v>
      </c>
      <c r="O53" s="9" t="n">
        <f aca="false">INDEX('Taxonomía temas'!$F$2:$F$54,MATCH(K53,'Taxonomía temas'!$A$2:$A$54,0))</f>
        <v>1</v>
      </c>
      <c r="P53" s="7"/>
      <c r="Q53" s="7" t="s">
        <v>67</v>
      </c>
      <c r="R53" s="7" t="s">
        <v>68</v>
      </c>
      <c r="S53" s="7" t="s">
        <v>68</v>
      </c>
      <c r="T53" s="7" t="s">
        <v>68</v>
      </c>
      <c r="U53" s="7" t="s">
        <v>68</v>
      </c>
      <c r="V53" s="7" t="s">
        <v>548</v>
      </c>
      <c r="W53" s="9" t="str">
        <f aca="false">IF(V53="","No","Sí")</f>
        <v>Sí</v>
      </c>
      <c r="X53" s="6"/>
      <c r="Y53" s="6"/>
      <c r="Z53" s="6" t="s">
        <v>549</v>
      </c>
      <c r="AA53" s="4" t="s">
        <v>550</v>
      </c>
      <c r="AB53" s="6" t="s">
        <v>71</v>
      </c>
      <c r="AC53" s="6" t="s">
        <v>368</v>
      </c>
      <c r="AD53" s="6" t="s">
        <v>551</v>
      </c>
      <c r="AE53" s="6" t="s">
        <v>74</v>
      </c>
    </row>
    <row r="54" customFormat="false" ht="23.85" hidden="false" customHeight="false" outlineLevel="0" collapsed="false">
      <c r="A54" s="6" t="s">
        <v>552</v>
      </c>
      <c r="B54" s="4" t="s">
        <v>553</v>
      </c>
      <c r="C54" s="6" t="s">
        <v>285</v>
      </c>
      <c r="D54" s="7" t="s">
        <v>286</v>
      </c>
      <c r="E54" s="6" t="s">
        <v>287</v>
      </c>
      <c r="F54" s="6" t="s">
        <v>212</v>
      </c>
      <c r="G54" s="6" t="s">
        <v>288</v>
      </c>
      <c r="H54" s="4" t="s">
        <v>554</v>
      </c>
      <c r="I54" s="8" t="s">
        <v>555</v>
      </c>
      <c r="J54" s="7" t="s">
        <v>387</v>
      </c>
      <c r="K54" s="9" t="str">
        <f aca="false">LEFT(J54,3)</f>
        <v>T14</v>
      </c>
      <c r="L54" s="7" t="s">
        <v>556</v>
      </c>
      <c r="M54" s="9" t="str">
        <f aca="false">IF(L54="",K54,K54&amp;"; "&amp;L54)</f>
        <v>T14; T21</v>
      </c>
      <c r="N54" s="9" t="str">
        <f aca="false">INDEX('Taxonomía temas'!$D$2:$D$54,MATCH(K54,'Taxonomía temas'!$A$2:$A$54,0))</f>
        <v>Trabajo y protección social</v>
      </c>
      <c r="O54" s="9" t="n">
        <f aca="false">INDEX('Taxonomía temas'!$F$2:$F$54,MATCH(K54,'Taxonomía temas'!$A$2:$A$54,0))</f>
        <v>8</v>
      </c>
      <c r="P54" s="7" t="s">
        <v>253</v>
      </c>
      <c r="Q54" s="7" t="s">
        <v>177</v>
      </c>
      <c r="R54" s="7" t="s">
        <v>68</v>
      </c>
      <c r="S54" s="7" t="s">
        <v>68</v>
      </c>
      <c r="T54" s="7" t="s">
        <v>224</v>
      </c>
      <c r="U54" s="7" t="s">
        <v>68</v>
      </c>
      <c r="V54" s="7"/>
      <c r="W54" s="9" t="str">
        <f aca="false">IF(V54="","No","Sí")</f>
        <v>No</v>
      </c>
      <c r="X54" s="6"/>
      <c r="Y54" s="6" t="s">
        <v>292</v>
      </c>
      <c r="Z54" s="6" t="s">
        <v>497</v>
      </c>
      <c r="AA54" s="6" t="s">
        <v>555</v>
      </c>
      <c r="AB54" s="6" t="s">
        <v>71</v>
      </c>
      <c r="AC54" s="6" t="s">
        <v>368</v>
      </c>
      <c r="AD54" s="6" t="s">
        <v>557</v>
      </c>
      <c r="AE54" s="6" t="s">
        <v>74</v>
      </c>
    </row>
    <row r="55" customFormat="false" ht="23.85" hidden="false" customHeight="false" outlineLevel="0" collapsed="false">
      <c r="A55" s="6" t="s">
        <v>558</v>
      </c>
      <c r="B55" s="4" t="s">
        <v>559</v>
      </c>
      <c r="C55" s="6" t="s">
        <v>560</v>
      </c>
      <c r="D55" s="7" t="s">
        <v>60</v>
      </c>
      <c r="E55" s="6" t="s">
        <v>61</v>
      </c>
      <c r="F55" s="6" t="s">
        <v>242</v>
      </c>
      <c r="G55" s="6" t="s">
        <v>60</v>
      </c>
      <c r="H55" s="4" t="s">
        <v>561</v>
      </c>
      <c r="I55" s="8" t="s">
        <v>562</v>
      </c>
      <c r="J55" s="7" t="s">
        <v>468</v>
      </c>
      <c r="K55" s="9" t="str">
        <f aca="false">LEFT(J55,3)</f>
        <v>T16</v>
      </c>
      <c r="L55" s="7" t="s">
        <v>522</v>
      </c>
      <c r="M55" s="9" t="str">
        <f aca="false">IF(L55="",K55,K55&amp;"; "&amp;L55)</f>
        <v>T16; T25</v>
      </c>
      <c r="N55" s="9" t="str">
        <f aca="false">INDEX('Taxonomía temas'!$D$2:$D$54,MATCH(K55,'Taxonomía temas'!$A$2:$A$54,0))</f>
        <v>Trabajo y protección social</v>
      </c>
      <c r="O55" s="9" t="n">
        <f aca="false">INDEX('Taxonomía temas'!$F$2:$F$54,MATCH(K55,'Taxonomía temas'!$A$2:$A$54,0))</f>
        <v>1</v>
      </c>
      <c r="P55" s="7" t="s">
        <v>563</v>
      </c>
      <c r="Q55" s="7" t="s">
        <v>67</v>
      </c>
      <c r="R55" s="7" t="s">
        <v>68</v>
      </c>
      <c r="S55" s="7" t="s">
        <v>68</v>
      </c>
      <c r="T55" s="7" t="s">
        <v>68</v>
      </c>
      <c r="U55" s="7" t="s">
        <v>68</v>
      </c>
      <c r="V55" s="7"/>
      <c r="W55" s="9" t="str">
        <f aca="false">IF(V55="","No","Sí")</f>
        <v>No</v>
      </c>
      <c r="X55" s="6"/>
      <c r="Y55" s="6" t="s">
        <v>560</v>
      </c>
      <c r="Z55" s="6" t="s">
        <v>564</v>
      </c>
      <c r="AA55" s="6" t="s">
        <v>562</v>
      </c>
      <c r="AB55" s="6" t="s">
        <v>71</v>
      </c>
      <c r="AC55" s="6" t="s">
        <v>368</v>
      </c>
      <c r="AD55" s="6" t="s">
        <v>565</v>
      </c>
      <c r="AE55" s="6" t="s">
        <v>74</v>
      </c>
    </row>
    <row r="56" customFormat="false" ht="23.85" hidden="false" customHeight="false" outlineLevel="0" collapsed="false">
      <c r="A56" s="6" t="s">
        <v>566</v>
      </c>
      <c r="B56" s="4" t="s">
        <v>567</v>
      </c>
      <c r="C56" s="6" t="s">
        <v>568</v>
      </c>
      <c r="D56" s="7" t="s">
        <v>60</v>
      </c>
      <c r="E56" s="6" t="s">
        <v>61</v>
      </c>
      <c r="F56" s="6" t="s">
        <v>242</v>
      </c>
      <c r="G56" s="6" t="s">
        <v>60</v>
      </c>
      <c r="H56" s="4" t="s">
        <v>569</v>
      </c>
      <c r="I56" s="8" t="s">
        <v>570</v>
      </c>
      <c r="J56" s="7" t="s">
        <v>571</v>
      </c>
      <c r="K56" s="9" t="str">
        <f aca="false">LEFT(J56,3)</f>
        <v>T46</v>
      </c>
      <c r="L56" s="7" t="s">
        <v>572</v>
      </c>
      <c r="M56" s="9" t="str">
        <f aca="false">IF(L56="",K56,K56&amp;"; "&amp;L56)</f>
        <v>T46; T47</v>
      </c>
      <c r="N56" s="9" t="str">
        <f aca="false">INDEX('Taxonomía temas'!$D$2:$D$54,MATCH(K56,'Taxonomía temas'!$A$2:$A$54,0))</f>
        <v>Estado, gobierno y derechos</v>
      </c>
      <c r="O56" s="9" t="n">
        <f aca="false">INDEX('Taxonomía temas'!$F$2:$F$54,MATCH(K56,'Taxonomía temas'!$A$2:$A$54,0))</f>
        <v>16</v>
      </c>
      <c r="P56" s="7" t="s">
        <v>223</v>
      </c>
      <c r="Q56" s="7" t="s">
        <v>67</v>
      </c>
      <c r="R56" s="7" t="s">
        <v>68</v>
      </c>
      <c r="S56" s="7" t="s">
        <v>68</v>
      </c>
      <c r="T56" s="7" t="s">
        <v>68</v>
      </c>
      <c r="U56" s="7" t="s">
        <v>224</v>
      </c>
      <c r="V56" s="7"/>
      <c r="W56" s="9" t="str">
        <f aca="false">IF(V56="","No","Sí")</f>
        <v>No</v>
      </c>
      <c r="X56" s="6"/>
      <c r="Y56" s="6"/>
      <c r="Z56" s="6" t="s">
        <v>573</v>
      </c>
      <c r="AA56" s="4" t="s">
        <v>574</v>
      </c>
      <c r="AB56" s="6" t="s">
        <v>71</v>
      </c>
      <c r="AC56" s="6" t="s">
        <v>368</v>
      </c>
      <c r="AD56" s="6" t="s">
        <v>575</v>
      </c>
      <c r="AE56" s="6" t="s">
        <v>74</v>
      </c>
    </row>
    <row r="57" customFormat="false" ht="23.85" hidden="false" customHeight="false" outlineLevel="0" collapsed="false">
      <c r="A57" s="6" t="s">
        <v>576</v>
      </c>
      <c r="B57" s="4" t="s">
        <v>577</v>
      </c>
      <c r="C57" s="6" t="s">
        <v>578</v>
      </c>
      <c r="D57" s="7" t="s">
        <v>60</v>
      </c>
      <c r="E57" s="6" t="s">
        <v>195</v>
      </c>
      <c r="F57" s="6" t="s">
        <v>579</v>
      </c>
      <c r="G57" s="6" t="s">
        <v>60</v>
      </c>
      <c r="H57" s="4" t="s">
        <v>580</v>
      </c>
      <c r="I57" s="8" t="s">
        <v>581</v>
      </c>
      <c r="J57" s="7" t="s">
        <v>537</v>
      </c>
      <c r="K57" s="9" t="str">
        <f aca="false">LEFT(J57,3)</f>
        <v>T20</v>
      </c>
      <c r="L57" s="7" t="s">
        <v>582</v>
      </c>
      <c r="M57" s="9" t="str">
        <f aca="false">IF(L57="",K57,K57&amp;"; "&amp;L57)</f>
        <v>T20; T48</v>
      </c>
      <c r="N57" s="9" t="str">
        <f aca="false">INDEX('Taxonomía temas'!$D$2:$D$54,MATCH(K57,'Taxonomía temas'!$A$2:$A$54,0))</f>
        <v>Trabajo y protección social</v>
      </c>
      <c r="O57" s="9" t="n">
        <f aca="false">INDEX('Taxonomía temas'!$F$2:$F$54,MATCH(K57,'Taxonomía temas'!$A$2:$A$54,0))</f>
        <v>2</v>
      </c>
      <c r="P57" s="7" t="s">
        <v>440</v>
      </c>
      <c r="Q57" s="7" t="s">
        <v>67</v>
      </c>
      <c r="R57" s="7" t="s">
        <v>68</v>
      </c>
      <c r="S57" s="7" t="s">
        <v>68</v>
      </c>
      <c r="T57" s="7" t="s">
        <v>68</v>
      </c>
      <c r="U57" s="7" t="s">
        <v>68</v>
      </c>
      <c r="V57" s="7"/>
      <c r="W57" s="9" t="str">
        <f aca="false">IF(V57="","No","Sí")</f>
        <v>No</v>
      </c>
      <c r="X57" s="6"/>
      <c r="Y57" s="6"/>
      <c r="Z57" s="6" t="s">
        <v>583</v>
      </c>
      <c r="AA57" s="6" t="s">
        <v>581</v>
      </c>
      <c r="AB57" s="6" t="s">
        <v>71</v>
      </c>
      <c r="AC57" s="6" t="s">
        <v>368</v>
      </c>
      <c r="AD57" s="6" t="s">
        <v>584</v>
      </c>
      <c r="AE57" s="6" t="s">
        <v>74</v>
      </c>
    </row>
    <row r="58" customFormat="false" ht="23.85" hidden="false" customHeight="false" outlineLevel="0" collapsed="false">
      <c r="A58" s="6" t="s">
        <v>585</v>
      </c>
      <c r="B58" s="4" t="s">
        <v>586</v>
      </c>
      <c r="C58" s="6" t="s">
        <v>587</v>
      </c>
      <c r="D58" s="7" t="s">
        <v>60</v>
      </c>
      <c r="E58" s="6" t="s">
        <v>195</v>
      </c>
      <c r="F58" s="6" t="s">
        <v>579</v>
      </c>
      <c r="G58" s="6" t="s">
        <v>60</v>
      </c>
      <c r="H58" s="4" t="s">
        <v>588</v>
      </c>
      <c r="I58" s="8" t="s">
        <v>589</v>
      </c>
      <c r="J58" s="7" t="s">
        <v>537</v>
      </c>
      <c r="K58" s="9" t="str">
        <f aca="false">LEFT(J58,3)</f>
        <v>T20</v>
      </c>
      <c r="L58" s="7"/>
      <c r="M58" s="9" t="str">
        <f aca="false">IF(L58="",K58,K58&amp;"; "&amp;L58)</f>
        <v>T20</v>
      </c>
      <c r="N58" s="9" t="str">
        <f aca="false">INDEX('Taxonomía temas'!$D$2:$D$54,MATCH(K58,'Taxonomía temas'!$A$2:$A$54,0))</f>
        <v>Trabajo y protección social</v>
      </c>
      <c r="O58" s="9" t="n">
        <f aca="false">INDEX('Taxonomía temas'!$F$2:$F$54,MATCH(K58,'Taxonomía temas'!$A$2:$A$54,0))</f>
        <v>2</v>
      </c>
      <c r="P58" s="7" t="s">
        <v>440</v>
      </c>
      <c r="Q58" s="7" t="s">
        <v>67</v>
      </c>
      <c r="R58" s="7" t="s">
        <v>68</v>
      </c>
      <c r="S58" s="7" t="s">
        <v>68</v>
      </c>
      <c r="T58" s="7" t="s">
        <v>68</v>
      </c>
      <c r="U58" s="7" t="s">
        <v>68</v>
      </c>
      <c r="V58" s="7"/>
      <c r="W58" s="9" t="str">
        <f aca="false">IF(V58="","No","Sí")</f>
        <v>No</v>
      </c>
      <c r="X58" s="6"/>
      <c r="Y58" s="6"/>
      <c r="Z58" s="6" t="s">
        <v>590</v>
      </c>
      <c r="AA58" s="6" t="s">
        <v>589</v>
      </c>
      <c r="AB58" s="6" t="s">
        <v>71</v>
      </c>
      <c r="AC58" s="6" t="s">
        <v>368</v>
      </c>
      <c r="AD58" s="6" t="s">
        <v>591</v>
      </c>
      <c r="AE58" s="6" t="s">
        <v>74</v>
      </c>
    </row>
    <row r="59" customFormat="false" ht="15" hidden="false" customHeight="false" outlineLevel="0" collapsed="false">
      <c r="A59" s="6" t="s">
        <v>592</v>
      </c>
      <c r="B59" s="4" t="s">
        <v>593</v>
      </c>
      <c r="C59" s="6" t="s">
        <v>594</v>
      </c>
      <c r="D59" s="7" t="s">
        <v>60</v>
      </c>
      <c r="E59" s="6" t="s">
        <v>502</v>
      </c>
      <c r="F59" s="6" t="s">
        <v>242</v>
      </c>
      <c r="G59" s="6" t="s">
        <v>60</v>
      </c>
      <c r="H59" s="4" t="s">
        <v>595</v>
      </c>
      <c r="I59" s="8" t="s">
        <v>596</v>
      </c>
      <c r="J59" s="7" t="s">
        <v>365</v>
      </c>
      <c r="K59" s="9" t="str">
        <f aca="false">LEFT(J59,3)</f>
        <v>T22</v>
      </c>
      <c r="L59" s="7"/>
      <c r="M59" s="9" t="str">
        <f aca="false">IF(L59="",K59,K59&amp;"; "&amp;L59)</f>
        <v>T22</v>
      </c>
      <c r="N59" s="9" t="str">
        <f aca="false">INDEX('Taxonomía temas'!$D$2:$D$54,MATCH(K59,'Taxonomía temas'!$A$2:$A$54,0))</f>
        <v>Salud y población</v>
      </c>
      <c r="O59" s="9" t="n">
        <f aca="false">INDEX('Taxonomía temas'!$F$2:$F$54,MATCH(K59,'Taxonomía temas'!$A$2:$A$54,0))</f>
        <v>3</v>
      </c>
      <c r="P59" s="7"/>
      <c r="Q59" s="7" t="s">
        <v>67</v>
      </c>
      <c r="R59" s="7" t="s">
        <v>68</v>
      </c>
      <c r="S59" s="7" t="s">
        <v>68</v>
      </c>
      <c r="T59" s="7" t="s">
        <v>68</v>
      </c>
      <c r="U59" s="7" t="s">
        <v>68</v>
      </c>
      <c r="V59" s="7" t="s">
        <v>597</v>
      </c>
      <c r="W59" s="9" t="str">
        <f aca="false">IF(V59="","No","Sí")</f>
        <v>Sí</v>
      </c>
      <c r="X59" s="6" t="s">
        <v>598</v>
      </c>
      <c r="Y59" s="6"/>
      <c r="Z59" s="6" t="s">
        <v>599</v>
      </c>
      <c r="AA59" s="6" t="s">
        <v>596</v>
      </c>
      <c r="AB59" s="6" t="s">
        <v>71</v>
      </c>
      <c r="AC59" s="6" t="s">
        <v>368</v>
      </c>
      <c r="AD59" s="6" t="s">
        <v>600</v>
      </c>
      <c r="AE59" s="6" t="s">
        <v>74</v>
      </c>
    </row>
    <row r="60" customFormat="false" ht="23.85" hidden="false" customHeight="false" outlineLevel="0" collapsed="false">
      <c r="A60" s="6" t="s">
        <v>601</v>
      </c>
      <c r="B60" s="4" t="s">
        <v>602</v>
      </c>
      <c r="C60" s="6" t="s">
        <v>603</v>
      </c>
      <c r="D60" s="7" t="s">
        <v>60</v>
      </c>
      <c r="E60" s="6" t="s">
        <v>545</v>
      </c>
      <c r="F60" s="6" t="s">
        <v>242</v>
      </c>
      <c r="G60" s="6" t="s">
        <v>60</v>
      </c>
      <c r="H60" s="4" t="s">
        <v>604</v>
      </c>
      <c r="I60" s="8" t="s">
        <v>605</v>
      </c>
      <c r="J60" s="7" t="s">
        <v>606</v>
      </c>
      <c r="K60" s="9" t="str">
        <f aca="false">LEFT(J60,3)</f>
        <v>T23</v>
      </c>
      <c r="L60" s="7" t="s">
        <v>399</v>
      </c>
      <c r="M60" s="9" t="str">
        <f aca="false">IF(L60="",K60,K60&amp;"; "&amp;L60)</f>
        <v>T23; T22</v>
      </c>
      <c r="N60" s="9" t="str">
        <f aca="false">INDEX('Taxonomía temas'!$D$2:$D$54,MATCH(K60,'Taxonomía temas'!$A$2:$A$54,0))</f>
        <v>Salud y población</v>
      </c>
      <c r="O60" s="9" t="n">
        <f aca="false">INDEX('Taxonomía temas'!$F$2:$F$54,MATCH(K60,'Taxonomía temas'!$A$2:$A$54,0))</f>
        <v>3</v>
      </c>
      <c r="P60" s="7" t="s">
        <v>607</v>
      </c>
      <c r="Q60" s="7" t="s">
        <v>67</v>
      </c>
      <c r="R60" s="7" t="s">
        <v>68</v>
      </c>
      <c r="S60" s="7" t="s">
        <v>68</v>
      </c>
      <c r="T60" s="7" t="s">
        <v>68</v>
      </c>
      <c r="U60" s="7" t="s">
        <v>224</v>
      </c>
      <c r="V60" s="7"/>
      <c r="W60" s="9" t="str">
        <f aca="false">IF(V60="","No","Sí")</f>
        <v>No</v>
      </c>
      <c r="X60" s="6"/>
      <c r="Y60" s="6"/>
      <c r="Z60" s="6" t="s">
        <v>608</v>
      </c>
      <c r="AA60" s="6" t="s">
        <v>605</v>
      </c>
      <c r="AB60" s="6" t="s">
        <v>71</v>
      </c>
      <c r="AC60" s="6" t="s">
        <v>368</v>
      </c>
      <c r="AD60" s="6" t="s">
        <v>609</v>
      </c>
      <c r="AE60" s="6" t="s">
        <v>74</v>
      </c>
    </row>
    <row r="61" customFormat="false" ht="23.85" hidden="false" customHeight="false" outlineLevel="0" collapsed="false">
      <c r="A61" s="6" t="s">
        <v>610</v>
      </c>
      <c r="B61" s="4" t="s">
        <v>611</v>
      </c>
      <c r="C61" s="6" t="s">
        <v>612</v>
      </c>
      <c r="D61" s="7" t="s">
        <v>60</v>
      </c>
      <c r="E61" s="6" t="s">
        <v>61</v>
      </c>
      <c r="F61" s="6" t="s">
        <v>242</v>
      </c>
      <c r="G61" s="6" t="s">
        <v>110</v>
      </c>
      <c r="H61" s="4" t="s">
        <v>613</v>
      </c>
      <c r="I61" s="8" t="s">
        <v>614</v>
      </c>
      <c r="J61" s="7" t="s">
        <v>410</v>
      </c>
      <c r="K61" s="9" t="str">
        <f aca="false">LEFT(J61,3)</f>
        <v>T17</v>
      </c>
      <c r="L61" s="7" t="s">
        <v>615</v>
      </c>
      <c r="M61" s="9" t="str">
        <f aca="false">IF(L61="",K61,K61&amp;"; "&amp;L61)</f>
        <v>T17; T18</v>
      </c>
      <c r="N61" s="9" t="str">
        <f aca="false">INDEX('Taxonomía temas'!$D$2:$D$54,MATCH(K61,'Taxonomía temas'!$A$2:$A$54,0))</f>
        <v>Trabajo y protección social</v>
      </c>
      <c r="O61" s="9" t="n">
        <f aca="false">INDEX('Taxonomía temas'!$F$2:$F$54,MATCH(K61,'Taxonomía temas'!$A$2:$A$54,0))</f>
        <v>1</v>
      </c>
      <c r="P61" s="7"/>
      <c r="Q61" s="7" t="s">
        <v>67</v>
      </c>
      <c r="R61" s="7" t="s">
        <v>68</v>
      </c>
      <c r="S61" s="7" t="s">
        <v>68</v>
      </c>
      <c r="T61" s="7" t="s">
        <v>68</v>
      </c>
      <c r="U61" s="7" t="s">
        <v>68</v>
      </c>
      <c r="V61" s="7" t="s">
        <v>616</v>
      </c>
      <c r="W61" s="9" t="str">
        <f aca="false">IF(V61="","No","Sí")</f>
        <v>Sí</v>
      </c>
      <c r="X61" s="6"/>
      <c r="Y61" s="6"/>
      <c r="Z61" s="6" t="s">
        <v>617</v>
      </c>
      <c r="AA61" s="6" t="s">
        <v>614</v>
      </c>
      <c r="AB61" s="6" t="s">
        <v>71</v>
      </c>
      <c r="AC61" s="6" t="s">
        <v>368</v>
      </c>
      <c r="AD61" s="6" t="s">
        <v>618</v>
      </c>
      <c r="AE61" s="6" t="s">
        <v>74</v>
      </c>
    </row>
    <row r="62" customFormat="false" ht="23.85" hidden="false" customHeight="false" outlineLevel="0" collapsed="false">
      <c r="A62" s="6" t="s">
        <v>619</v>
      </c>
      <c r="B62" s="4" t="s">
        <v>620</v>
      </c>
      <c r="C62" s="6" t="s">
        <v>621</v>
      </c>
      <c r="D62" s="7" t="s">
        <v>60</v>
      </c>
      <c r="E62" s="6" t="s">
        <v>61</v>
      </c>
      <c r="F62" s="6" t="s">
        <v>242</v>
      </c>
      <c r="G62" s="6" t="s">
        <v>60</v>
      </c>
      <c r="H62" s="4" t="s">
        <v>622</v>
      </c>
      <c r="I62" s="8" t="s">
        <v>623</v>
      </c>
      <c r="J62" s="7" t="s">
        <v>457</v>
      </c>
      <c r="K62" s="9" t="str">
        <f aca="false">LEFT(J62,3)</f>
        <v>T24</v>
      </c>
      <c r="L62" s="7" t="s">
        <v>399</v>
      </c>
      <c r="M62" s="9" t="str">
        <f aca="false">IF(L62="",K62,K62&amp;"; "&amp;L62)</f>
        <v>T24; T22</v>
      </c>
      <c r="N62" s="9" t="str">
        <f aca="false">INDEX('Taxonomía temas'!$D$2:$D$54,MATCH(K62,'Taxonomía temas'!$A$2:$A$54,0))</f>
        <v>Salud y población</v>
      </c>
      <c r="O62" s="9" t="n">
        <f aca="false">INDEX('Taxonomía temas'!$F$2:$F$54,MATCH(K62,'Taxonomía temas'!$A$2:$A$54,0))</f>
        <v>3</v>
      </c>
      <c r="P62" s="7"/>
      <c r="Q62" s="7" t="s">
        <v>67</v>
      </c>
      <c r="R62" s="7" t="s">
        <v>68</v>
      </c>
      <c r="S62" s="7" t="s">
        <v>68</v>
      </c>
      <c r="T62" s="7" t="s">
        <v>68</v>
      </c>
      <c r="U62" s="7" t="s">
        <v>68</v>
      </c>
      <c r="V62" s="7"/>
      <c r="W62" s="9" t="str">
        <f aca="false">IF(V62="","No","Sí")</f>
        <v>No</v>
      </c>
      <c r="X62" s="6"/>
      <c r="Y62" s="6"/>
      <c r="Z62" s="6" t="s">
        <v>624</v>
      </c>
      <c r="AA62" s="6" t="s">
        <v>623</v>
      </c>
      <c r="AB62" s="6" t="s">
        <v>71</v>
      </c>
      <c r="AC62" s="6" t="s">
        <v>368</v>
      </c>
      <c r="AD62" s="6" t="s">
        <v>625</v>
      </c>
      <c r="AE62" s="6" t="s">
        <v>74</v>
      </c>
    </row>
    <row r="63" customFormat="false" ht="23.85" hidden="false" customHeight="false" outlineLevel="0" collapsed="false">
      <c r="A63" s="6" t="s">
        <v>626</v>
      </c>
      <c r="B63" s="4" t="s">
        <v>627</v>
      </c>
      <c r="C63" s="6" t="s">
        <v>628</v>
      </c>
      <c r="D63" s="7" t="s">
        <v>60</v>
      </c>
      <c r="E63" s="6" t="s">
        <v>195</v>
      </c>
      <c r="F63" s="6" t="s">
        <v>242</v>
      </c>
      <c r="G63" s="6" t="s">
        <v>60</v>
      </c>
      <c r="H63" s="4" t="s">
        <v>629</v>
      </c>
      <c r="I63" s="8" t="s">
        <v>630</v>
      </c>
      <c r="J63" s="7" t="s">
        <v>398</v>
      </c>
      <c r="K63" s="9" t="str">
        <f aca="false">LEFT(J63,3)</f>
        <v>T25</v>
      </c>
      <c r="L63" s="7" t="s">
        <v>631</v>
      </c>
      <c r="M63" s="9" t="str">
        <f aca="false">IF(L63="",K63,K63&amp;"; "&amp;L63)</f>
        <v>T25; T16</v>
      </c>
      <c r="N63" s="9" t="str">
        <f aca="false">INDEX('Taxonomía temas'!$D$2:$D$54,MATCH(K63,'Taxonomía temas'!$A$2:$A$54,0))</f>
        <v>Salud y población</v>
      </c>
      <c r="O63" s="9" t="n">
        <f aca="false">INDEX('Taxonomía temas'!$F$2:$F$54,MATCH(K63,'Taxonomía temas'!$A$2:$A$54,0))</f>
        <v>17</v>
      </c>
      <c r="P63" s="7" t="s">
        <v>632</v>
      </c>
      <c r="Q63" s="7" t="s">
        <v>67</v>
      </c>
      <c r="R63" s="7" t="s">
        <v>68</v>
      </c>
      <c r="S63" s="7" t="s">
        <v>68</v>
      </c>
      <c r="T63" s="7" t="s">
        <v>68</v>
      </c>
      <c r="U63" s="7" t="s">
        <v>68</v>
      </c>
      <c r="V63" s="7"/>
      <c r="W63" s="9" t="str">
        <f aca="false">IF(V63="","No","Sí")</f>
        <v>No</v>
      </c>
      <c r="X63" s="6"/>
      <c r="Y63" s="6"/>
      <c r="Z63" s="6" t="s">
        <v>633</v>
      </c>
      <c r="AA63" s="6" t="s">
        <v>630</v>
      </c>
      <c r="AB63" s="6" t="s">
        <v>71</v>
      </c>
      <c r="AC63" s="6" t="s">
        <v>368</v>
      </c>
      <c r="AD63" s="6" t="s">
        <v>634</v>
      </c>
      <c r="AE63" s="6" t="s">
        <v>74</v>
      </c>
    </row>
    <row r="64" customFormat="false" ht="23.85" hidden="false" customHeight="false" outlineLevel="0" collapsed="false">
      <c r="A64" s="6" t="s">
        <v>635</v>
      </c>
      <c r="B64" s="4" t="s">
        <v>636</v>
      </c>
      <c r="C64" s="6" t="s">
        <v>637</v>
      </c>
      <c r="D64" s="7" t="s">
        <v>60</v>
      </c>
      <c r="E64" s="6" t="s">
        <v>405</v>
      </c>
      <c r="F64" s="6" t="s">
        <v>242</v>
      </c>
      <c r="G64" s="6" t="s">
        <v>407</v>
      </c>
      <c r="H64" s="4" t="s">
        <v>638</v>
      </c>
      <c r="I64" s="8" t="s">
        <v>639</v>
      </c>
      <c r="J64" s="7" t="s">
        <v>387</v>
      </c>
      <c r="K64" s="9" t="str">
        <f aca="false">LEFT(J64,3)</f>
        <v>T14</v>
      </c>
      <c r="L64" s="7" t="s">
        <v>522</v>
      </c>
      <c r="M64" s="9" t="str">
        <f aca="false">IF(L64="",K64,K64&amp;"; "&amp;L64)</f>
        <v>T14; T25</v>
      </c>
      <c r="N64" s="9" t="str">
        <f aca="false">INDEX('Taxonomía temas'!$D$2:$D$54,MATCH(K64,'Taxonomía temas'!$A$2:$A$54,0))</f>
        <v>Trabajo y protección social</v>
      </c>
      <c r="O64" s="9" t="n">
        <f aca="false">INDEX('Taxonomía temas'!$F$2:$F$54,MATCH(K64,'Taxonomía temas'!$A$2:$A$54,0))</f>
        <v>8</v>
      </c>
      <c r="P64" s="7" t="s">
        <v>640</v>
      </c>
      <c r="Q64" s="7" t="s">
        <v>67</v>
      </c>
      <c r="R64" s="7" t="s">
        <v>68</v>
      </c>
      <c r="S64" s="7" t="s">
        <v>68</v>
      </c>
      <c r="T64" s="7" t="s">
        <v>68</v>
      </c>
      <c r="U64" s="7" t="s">
        <v>68</v>
      </c>
      <c r="V64" s="7" t="s">
        <v>641</v>
      </c>
      <c r="W64" s="9" t="str">
        <f aca="false">IF(V64="","No","Sí")</f>
        <v>Sí</v>
      </c>
      <c r="X64" s="6"/>
      <c r="Y64" s="6"/>
      <c r="Z64" s="6" t="s">
        <v>642</v>
      </c>
      <c r="AA64" s="6" t="s">
        <v>639</v>
      </c>
      <c r="AB64" s="6" t="s">
        <v>71</v>
      </c>
      <c r="AC64" s="6" t="s">
        <v>368</v>
      </c>
      <c r="AD64" s="6" t="s">
        <v>643</v>
      </c>
      <c r="AE64" s="6" t="s">
        <v>74</v>
      </c>
    </row>
    <row r="65" customFormat="false" ht="23.85" hidden="false" customHeight="false" outlineLevel="0" collapsed="false">
      <c r="A65" s="6" t="s">
        <v>644</v>
      </c>
      <c r="B65" s="4" t="s">
        <v>645</v>
      </c>
      <c r="C65" s="6" t="s">
        <v>395</v>
      </c>
      <c r="D65" s="7" t="s">
        <v>60</v>
      </c>
      <c r="E65" s="6" t="s">
        <v>61</v>
      </c>
      <c r="F65" s="6" t="s">
        <v>79</v>
      </c>
      <c r="G65" s="6" t="s">
        <v>60</v>
      </c>
      <c r="H65" s="4" t="s">
        <v>646</v>
      </c>
      <c r="I65" s="8" t="s">
        <v>647</v>
      </c>
      <c r="J65" s="7" t="s">
        <v>365</v>
      </c>
      <c r="K65" s="9" t="str">
        <f aca="false">LEFT(J65,3)</f>
        <v>T22</v>
      </c>
      <c r="L65" s="7"/>
      <c r="M65" s="9" t="str">
        <f aca="false">IF(L65="",K65,K65&amp;"; "&amp;L65)</f>
        <v>T22</v>
      </c>
      <c r="N65" s="9" t="str">
        <f aca="false">INDEX('Taxonomía temas'!$D$2:$D$54,MATCH(K65,'Taxonomía temas'!$A$2:$A$54,0))</f>
        <v>Salud y población</v>
      </c>
      <c r="O65" s="9" t="n">
        <f aca="false">INDEX('Taxonomía temas'!$F$2:$F$54,MATCH(K65,'Taxonomía temas'!$A$2:$A$54,0))</f>
        <v>3</v>
      </c>
      <c r="P65" s="7"/>
      <c r="Q65" s="7" t="s">
        <v>94</v>
      </c>
      <c r="R65" s="7" t="s">
        <v>68</v>
      </c>
      <c r="S65" s="7" t="s">
        <v>68</v>
      </c>
      <c r="T65" s="7" t="s">
        <v>68</v>
      </c>
      <c r="U65" s="7" t="s">
        <v>68</v>
      </c>
      <c r="V65" s="7" t="s">
        <v>430</v>
      </c>
      <c r="W65" s="9" t="str">
        <f aca="false">IF(V65="","No","Sí")</f>
        <v>Sí</v>
      </c>
      <c r="X65" s="6"/>
      <c r="Y65" s="6"/>
      <c r="Z65" s="6" t="s">
        <v>648</v>
      </c>
      <c r="AA65" s="6" t="s">
        <v>647</v>
      </c>
      <c r="AB65" s="6" t="s">
        <v>71</v>
      </c>
      <c r="AC65" s="6" t="s">
        <v>368</v>
      </c>
      <c r="AD65" s="6" t="s">
        <v>649</v>
      </c>
      <c r="AE65" s="6" t="s">
        <v>74</v>
      </c>
    </row>
    <row r="66" customFormat="false" ht="23.85" hidden="false" customHeight="false" outlineLevel="0" collapsed="false">
      <c r="A66" s="6" t="s">
        <v>650</v>
      </c>
      <c r="B66" s="4" t="s">
        <v>651</v>
      </c>
      <c r="C66" s="6" t="s">
        <v>568</v>
      </c>
      <c r="D66" s="7" t="s">
        <v>60</v>
      </c>
      <c r="E66" s="6" t="s">
        <v>61</v>
      </c>
      <c r="F66" s="6" t="s">
        <v>79</v>
      </c>
      <c r="G66" s="6" t="s">
        <v>60</v>
      </c>
      <c r="H66" s="4" t="s">
        <v>652</v>
      </c>
      <c r="I66" s="8" t="s">
        <v>653</v>
      </c>
      <c r="J66" s="7" t="s">
        <v>410</v>
      </c>
      <c r="K66" s="9" t="str">
        <f aca="false">LEFT(J66,3)</f>
        <v>T17</v>
      </c>
      <c r="L66" s="7" t="s">
        <v>654</v>
      </c>
      <c r="M66" s="9" t="str">
        <f aca="false">IF(L66="",K66,K66&amp;"; "&amp;L66)</f>
        <v>T17; T14; T19</v>
      </c>
      <c r="N66" s="9" t="str">
        <f aca="false">INDEX('Taxonomía temas'!$D$2:$D$54,MATCH(K66,'Taxonomía temas'!$A$2:$A$54,0))</f>
        <v>Trabajo y protección social</v>
      </c>
      <c r="O66" s="9" t="n">
        <f aca="false">INDEX('Taxonomía temas'!$F$2:$F$54,MATCH(K66,'Taxonomía temas'!$A$2:$A$54,0))</f>
        <v>1</v>
      </c>
      <c r="P66" s="7" t="s">
        <v>223</v>
      </c>
      <c r="Q66" s="7" t="s">
        <v>94</v>
      </c>
      <c r="R66" s="7" t="s">
        <v>68</v>
      </c>
      <c r="S66" s="7" t="s">
        <v>68</v>
      </c>
      <c r="T66" s="7" t="s">
        <v>68</v>
      </c>
      <c r="U66" s="7" t="s">
        <v>224</v>
      </c>
      <c r="V66" s="7"/>
      <c r="W66" s="9" t="str">
        <f aca="false">IF(V66="","No","Sí")</f>
        <v>No</v>
      </c>
      <c r="X66" s="6"/>
      <c r="Y66" s="6"/>
      <c r="Z66" s="6" t="s">
        <v>655</v>
      </c>
      <c r="AA66" s="6" t="s">
        <v>653</v>
      </c>
      <c r="AB66" s="6" t="s">
        <v>71</v>
      </c>
      <c r="AC66" s="6" t="s">
        <v>368</v>
      </c>
      <c r="AD66" s="6" t="s">
        <v>656</v>
      </c>
      <c r="AE66" s="6" t="s">
        <v>74</v>
      </c>
    </row>
    <row r="67" customFormat="false" ht="23.85" hidden="false" customHeight="false" outlineLevel="0" collapsed="false">
      <c r="A67" s="6" t="s">
        <v>657</v>
      </c>
      <c r="B67" s="4" t="s">
        <v>658</v>
      </c>
      <c r="C67" s="6" t="s">
        <v>659</v>
      </c>
      <c r="D67" s="7" t="s">
        <v>60</v>
      </c>
      <c r="E67" s="6" t="s">
        <v>61</v>
      </c>
      <c r="F67" s="6" t="s">
        <v>79</v>
      </c>
      <c r="G67" s="6" t="s">
        <v>60</v>
      </c>
      <c r="H67" s="4" t="s">
        <v>660</v>
      </c>
      <c r="I67" s="8" t="s">
        <v>661</v>
      </c>
      <c r="J67" s="7" t="s">
        <v>662</v>
      </c>
      <c r="K67" s="9" t="str">
        <f aca="false">LEFT(J67,3)</f>
        <v>T34</v>
      </c>
      <c r="L67" s="7" t="s">
        <v>663</v>
      </c>
      <c r="M67" s="9" t="str">
        <f aca="false">IF(L67="",K67,K67&amp;"; "&amp;L67)</f>
        <v>T34; T35</v>
      </c>
      <c r="N67" s="9" t="str">
        <f aca="false">INDEX('Taxonomía temas'!$D$2:$D$54,MATCH(K67,'Taxonomía temas'!$A$2:$A$54,0))</f>
        <v>Ambiente, energía y clima</v>
      </c>
      <c r="O67" s="9" t="n">
        <f aca="false">INDEX('Taxonomía temas'!$F$2:$F$54,MATCH(K67,'Taxonomía temas'!$A$2:$A$54,0))</f>
        <v>7</v>
      </c>
      <c r="P67" s="7"/>
      <c r="Q67" s="7" t="s">
        <v>94</v>
      </c>
      <c r="R67" s="7" t="s">
        <v>68</v>
      </c>
      <c r="S67" s="7" t="s">
        <v>68</v>
      </c>
      <c r="T67" s="7" t="s">
        <v>68</v>
      </c>
      <c r="U67" s="7" t="s">
        <v>68</v>
      </c>
      <c r="V67" s="7" t="s">
        <v>430</v>
      </c>
      <c r="W67" s="9" t="str">
        <f aca="false">IF(V67="","No","Sí")</f>
        <v>Sí</v>
      </c>
      <c r="X67" s="6" t="s">
        <v>664</v>
      </c>
      <c r="Y67" s="6"/>
      <c r="Z67" s="6" t="s">
        <v>665</v>
      </c>
      <c r="AA67" s="4" t="s">
        <v>666</v>
      </c>
      <c r="AB67" s="6" t="s">
        <v>71</v>
      </c>
      <c r="AC67" s="6" t="s">
        <v>667</v>
      </c>
      <c r="AD67" s="6" t="s">
        <v>668</v>
      </c>
      <c r="AE67" s="6" t="s">
        <v>74</v>
      </c>
    </row>
    <row r="68" customFormat="false" ht="23.85" hidden="false" customHeight="false" outlineLevel="0" collapsed="false">
      <c r="A68" s="6" t="s">
        <v>669</v>
      </c>
      <c r="B68" s="4" t="s">
        <v>670</v>
      </c>
      <c r="C68" s="6" t="s">
        <v>671</v>
      </c>
      <c r="D68" s="7" t="s">
        <v>60</v>
      </c>
      <c r="E68" s="6" t="s">
        <v>61</v>
      </c>
      <c r="F68" s="6" t="s">
        <v>672</v>
      </c>
      <c r="G68" s="6" t="s">
        <v>60</v>
      </c>
      <c r="H68" s="4" t="s">
        <v>673</v>
      </c>
      <c r="I68" s="8" t="s">
        <v>674</v>
      </c>
      <c r="J68" s="7" t="s">
        <v>662</v>
      </c>
      <c r="K68" s="9" t="str">
        <f aca="false">LEFT(J68,3)</f>
        <v>T34</v>
      </c>
      <c r="L68" s="7" t="s">
        <v>675</v>
      </c>
      <c r="M68" s="9" t="str">
        <f aca="false">IF(L68="",K68,K68&amp;"; "&amp;L68)</f>
        <v>T34; T33</v>
      </c>
      <c r="N68" s="9" t="str">
        <f aca="false">INDEX('Taxonomía temas'!$D$2:$D$54,MATCH(K68,'Taxonomía temas'!$A$2:$A$54,0))</f>
        <v>Ambiente, energía y clima</v>
      </c>
      <c r="O68" s="9" t="n">
        <f aca="false">INDEX('Taxonomía temas'!$F$2:$F$54,MATCH(K68,'Taxonomía temas'!$A$2:$A$54,0))</f>
        <v>7</v>
      </c>
      <c r="P68" s="7"/>
      <c r="Q68" s="7" t="s">
        <v>326</v>
      </c>
      <c r="R68" s="7" t="s">
        <v>224</v>
      </c>
      <c r="S68" s="7" t="s">
        <v>68</v>
      </c>
      <c r="T68" s="7" t="s">
        <v>68</v>
      </c>
      <c r="U68" s="7" t="s">
        <v>68</v>
      </c>
      <c r="V68" s="7"/>
      <c r="W68" s="9" t="str">
        <f aca="false">IF(V68="","No","Sí")</f>
        <v>No</v>
      </c>
      <c r="X68" s="6"/>
      <c r="Y68" s="6"/>
      <c r="Z68" s="6" t="s">
        <v>676</v>
      </c>
      <c r="AA68" s="6" t="s">
        <v>674</v>
      </c>
      <c r="AB68" s="6" t="s">
        <v>71</v>
      </c>
      <c r="AC68" s="6" t="s">
        <v>667</v>
      </c>
      <c r="AD68" s="6" t="s">
        <v>677</v>
      </c>
      <c r="AE68" s="6" t="s">
        <v>74</v>
      </c>
    </row>
    <row r="69" customFormat="false" ht="15" hidden="false" customHeight="false" outlineLevel="0" collapsed="false">
      <c r="A69" s="6" t="s">
        <v>678</v>
      </c>
      <c r="B69" s="4" t="s">
        <v>679</v>
      </c>
      <c r="C69" s="6" t="s">
        <v>680</v>
      </c>
      <c r="D69" s="7" t="s">
        <v>60</v>
      </c>
      <c r="E69" s="6" t="s">
        <v>61</v>
      </c>
      <c r="F69" s="6" t="s">
        <v>672</v>
      </c>
      <c r="G69" s="6" t="s">
        <v>681</v>
      </c>
      <c r="H69" s="4" t="s">
        <v>682</v>
      </c>
      <c r="I69" s="8" t="s">
        <v>683</v>
      </c>
      <c r="J69" s="7" t="s">
        <v>684</v>
      </c>
      <c r="K69" s="9" t="str">
        <f aca="false">LEFT(J69,3)</f>
        <v>T33</v>
      </c>
      <c r="L69" s="7"/>
      <c r="M69" s="9" t="str">
        <f aca="false">IF(L69="",K69,K69&amp;"; "&amp;L69)</f>
        <v>T33</v>
      </c>
      <c r="N69" s="9" t="str">
        <f aca="false">INDEX('Taxonomía temas'!$D$2:$D$54,MATCH(K69,'Taxonomía temas'!$A$2:$A$54,0))</f>
        <v>Ambiente, energía y clima</v>
      </c>
      <c r="O69" s="9" t="n">
        <f aca="false">INDEX('Taxonomía temas'!$F$2:$F$54,MATCH(K69,'Taxonomía temas'!$A$2:$A$54,0))</f>
        <v>6</v>
      </c>
      <c r="P69" s="7"/>
      <c r="Q69" s="7" t="s">
        <v>326</v>
      </c>
      <c r="R69" s="7" t="s">
        <v>224</v>
      </c>
      <c r="S69" s="7" t="s">
        <v>68</v>
      </c>
      <c r="T69" s="7" t="s">
        <v>68</v>
      </c>
      <c r="U69" s="7" t="s">
        <v>68</v>
      </c>
      <c r="V69" s="7" t="s">
        <v>685</v>
      </c>
      <c r="W69" s="9" t="str">
        <f aca="false">IF(V69="","No","Sí")</f>
        <v>Sí</v>
      </c>
      <c r="X69" s="6"/>
      <c r="Y69" s="6" t="s">
        <v>686</v>
      </c>
      <c r="Z69" s="6" t="s">
        <v>687</v>
      </c>
      <c r="AA69" s="6" t="s">
        <v>683</v>
      </c>
      <c r="AB69" s="6" t="s">
        <v>71</v>
      </c>
      <c r="AC69" s="6" t="s">
        <v>667</v>
      </c>
      <c r="AD69" s="6" t="s">
        <v>688</v>
      </c>
      <c r="AE69" s="6" t="s">
        <v>74</v>
      </c>
    </row>
    <row r="70" customFormat="false" ht="23.85" hidden="false" customHeight="false" outlineLevel="0" collapsed="false">
      <c r="A70" s="6" t="s">
        <v>689</v>
      </c>
      <c r="B70" s="4" t="s">
        <v>690</v>
      </c>
      <c r="C70" s="6" t="s">
        <v>691</v>
      </c>
      <c r="D70" s="7" t="s">
        <v>60</v>
      </c>
      <c r="E70" s="6" t="s">
        <v>61</v>
      </c>
      <c r="F70" s="6" t="s">
        <v>212</v>
      </c>
      <c r="G70" s="6" t="s">
        <v>60</v>
      </c>
      <c r="H70" s="4" t="s">
        <v>692</v>
      </c>
      <c r="I70" s="8" t="s">
        <v>693</v>
      </c>
      <c r="J70" s="7" t="s">
        <v>694</v>
      </c>
      <c r="K70" s="9" t="str">
        <f aca="false">LEFT(J70,3)</f>
        <v>T32</v>
      </c>
      <c r="L70" s="7" t="s">
        <v>695</v>
      </c>
      <c r="M70" s="9" t="str">
        <f aca="false">IF(L70="",K70,K70&amp;"; "&amp;L70)</f>
        <v>T32; T41</v>
      </c>
      <c r="N70" s="9" t="str">
        <f aca="false">INDEX('Taxonomía temas'!$D$2:$D$54,MATCH(K70,'Taxonomía temas'!$A$2:$A$54,0))</f>
        <v>Ambiente, energía y clima</v>
      </c>
      <c r="O70" s="9" t="n">
        <f aca="false">INDEX('Taxonomía temas'!$F$2:$F$54,MATCH(K70,'Taxonomía temas'!$A$2:$A$54,0))</f>
        <v>15</v>
      </c>
      <c r="P70" s="7"/>
      <c r="Q70" s="7" t="s">
        <v>177</v>
      </c>
      <c r="R70" s="7" t="s">
        <v>68</v>
      </c>
      <c r="S70" s="7" t="s">
        <v>68</v>
      </c>
      <c r="T70" s="7" t="s">
        <v>224</v>
      </c>
      <c r="U70" s="7" t="s">
        <v>68</v>
      </c>
      <c r="V70" s="7"/>
      <c r="W70" s="9" t="str">
        <f aca="false">IF(V70="","No","Sí")</f>
        <v>No</v>
      </c>
      <c r="X70" s="6"/>
      <c r="Y70" s="6" t="s">
        <v>696</v>
      </c>
      <c r="Z70" s="6" t="s">
        <v>697</v>
      </c>
      <c r="AA70" s="6" t="s">
        <v>693</v>
      </c>
      <c r="AB70" s="6" t="s">
        <v>71</v>
      </c>
      <c r="AC70" s="6" t="s">
        <v>667</v>
      </c>
      <c r="AD70" s="6" t="s">
        <v>698</v>
      </c>
      <c r="AE70" s="6" t="s">
        <v>74</v>
      </c>
    </row>
    <row r="71" customFormat="false" ht="23.85" hidden="false" customHeight="false" outlineLevel="0" collapsed="false">
      <c r="A71" s="6" t="s">
        <v>699</v>
      </c>
      <c r="B71" s="4" t="s">
        <v>700</v>
      </c>
      <c r="C71" s="6" t="s">
        <v>701</v>
      </c>
      <c r="D71" s="7" t="s">
        <v>60</v>
      </c>
      <c r="E71" s="6" t="s">
        <v>78</v>
      </c>
      <c r="F71" s="6" t="s">
        <v>702</v>
      </c>
      <c r="G71" s="6" t="s">
        <v>60</v>
      </c>
      <c r="H71" s="4" t="s">
        <v>703</v>
      </c>
      <c r="I71" s="8" t="s">
        <v>704</v>
      </c>
      <c r="J71" s="7" t="s">
        <v>705</v>
      </c>
      <c r="K71" s="9" t="str">
        <f aca="false">LEFT(J71,3)</f>
        <v>T35</v>
      </c>
      <c r="L71" s="7" t="s">
        <v>706</v>
      </c>
      <c r="M71" s="9" t="str">
        <f aca="false">IF(L71="",K71,K71&amp;"; "&amp;L71)</f>
        <v>T35; T04</v>
      </c>
      <c r="N71" s="9" t="str">
        <f aca="false">INDEX('Taxonomía temas'!$D$2:$D$54,MATCH(K71,'Taxonomía temas'!$A$2:$A$54,0))</f>
        <v>Ambiente, energía y clima</v>
      </c>
      <c r="O71" s="9" t="n">
        <f aca="false">INDEX('Taxonomía temas'!$F$2:$F$54,MATCH(K71,'Taxonomía temas'!$A$2:$A$54,0))</f>
        <v>13</v>
      </c>
      <c r="P71" s="7"/>
      <c r="Q71" s="7" t="s">
        <v>326</v>
      </c>
      <c r="R71" s="7" t="s">
        <v>68</v>
      </c>
      <c r="S71" s="7" t="s">
        <v>68</v>
      </c>
      <c r="T71" s="7" t="s">
        <v>68</v>
      </c>
      <c r="U71" s="7" t="s">
        <v>68</v>
      </c>
      <c r="V71" s="7"/>
      <c r="W71" s="9" t="str">
        <f aca="false">IF(V71="","No","Sí")</f>
        <v>No</v>
      </c>
      <c r="X71" s="6"/>
      <c r="Y71" s="6"/>
      <c r="Z71" s="6" t="s">
        <v>707</v>
      </c>
      <c r="AA71" s="4" t="s">
        <v>708</v>
      </c>
      <c r="AB71" s="6" t="s">
        <v>71</v>
      </c>
      <c r="AC71" s="6" t="s">
        <v>667</v>
      </c>
      <c r="AD71" s="6" t="s">
        <v>709</v>
      </c>
      <c r="AE71" s="6" t="s">
        <v>74</v>
      </c>
    </row>
    <row r="72" customFormat="false" ht="23.85" hidden="false" customHeight="false" outlineLevel="0" collapsed="false">
      <c r="A72" s="6" t="s">
        <v>710</v>
      </c>
      <c r="B72" s="4" t="s">
        <v>711</v>
      </c>
      <c r="C72" s="6" t="s">
        <v>701</v>
      </c>
      <c r="D72" s="7" t="s">
        <v>60</v>
      </c>
      <c r="E72" s="6" t="s">
        <v>78</v>
      </c>
      <c r="F72" s="6" t="s">
        <v>196</v>
      </c>
      <c r="G72" s="6" t="s">
        <v>60</v>
      </c>
      <c r="H72" s="4" t="s">
        <v>712</v>
      </c>
      <c r="I72" s="8" t="s">
        <v>713</v>
      </c>
      <c r="J72" s="7" t="s">
        <v>705</v>
      </c>
      <c r="K72" s="9" t="str">
        <f aca="false">LEFT(J72,3)</f>
        <v>T35</v>
      </c>
      <c r="L72" s="7" t="s">
        <v>714</v>
      </c>
      <c r="M72" s="9" t="str">
        <f aca="false">IF(L72="",K72,K72&amp;"; "&amp;L72)</f>
        <v>T35; T04; T33</v>
      </c>
      <c r="N72" s="9" t="str">
        <f aca="false">INDEX('Taxonomía temas'!$D$2:$D$54,MATCH(K72,'Taxonomía temas'!$A$2:$A$54,0))</f>
        <v>Ambiente, energía y clima</v>
      </c>
      <c r="O72" s="9" t="n">
        <f aca="false">INDEX('Taxonomía temas'!$F$2:$F$54,MATCH(K72,'Taxonomía temas'!$A$2:$A$54,0))</f>
        <v>13</v>
      </c>
      <c r="P72" s="7"/>
      <c r="Q72" s="7" t="s">
        <v>177</v>
      </c>
      <c r="R72" s="7" t="s">
        <v>68</v>
      </c>
      <c r="S72" s="7" t="s">
        <v>68</v>
      </c>
      <c r="T72" s="7" t="s">
        <v>68</v>
      </c>
      <c r="U72" s="7" t="s">
        <v>68</v>
      </c>
      <c r="V72" s="7"/>
      <c r="W72" s="9" t="str">
        <f aca="false">IF(V72="","No","Sí")</f>
        <v>No</v>
      </c>
      <c r="X72" s="6"/>
      <c r="Y72" s="6"/>
      <c r="Z72" s="6" t="s">
        <v>715</v>
      </c>
      <c r="AA72" s="6" t="s">
        <v>713</v>
      </c>
      <c r="AB72" s="6" t="s">
        <v>71</v>
      </c>
      <c r="AC72" s="6" t="s">
        <v>667</v>
      </c>
      <c r="AD72" s="6" t="s">
        <v>716</v>
      </c>
      <c r="AE72" s="6" t="s">
        <v>74</v>
      </c>
    </row>
    <row r="73" customFormat="false" ht="23.85" hidden="false" customHeight="false" outlineLevel="0" collapsed="false">
      <c r="A73" s="6" t="s">
        <v>717</v>
      </c>
      <c r="B73" s="4" t="s">
        <v>718</v>
      </c>
      <c r="C73" s="6" t="s">
        <v>691</v>
      </c>
      <c r="D73" s="7" t="s">
        <v>60</v>
      </c>
      <c r="E73" s="6" t="s">
        <v>61</v>
      </c>
      <c r="F73" s="6" t="s">
        <v>212</v>
      </c>
      <c r="G73" s="6" t="s">
        <v>60</v>
      </c>
      <c r="H73" s="4" t="s">
        <v>719</v>
      </c>
      <c r="I73" s="8" t="s">
        <v>720</v>
      </c>
      <c r="J73" s="7" t="s">
        <v>694</v>
      </c>
      <c r="K73" s="9" t="str">
        <f aca="false">LEFT(J73,3)</f>
        <v>T32</v>
      </c>
      <c r="L73" s="7"/>
      <c r="M73" s="9" t="str">
        <f aca="false">IF(L73="",K73,K73&amp;"; "&amp;L73)</f>
        <v>T32</v>
      </c>
      <c r="N73" s="9" t="str">
        <f aca="false">INDEX('Taxonomía temas'!$D$2:$D$54,MATCH(K73,'Taxonomía temas'!$A$2:$A$54,0))</f>
        <v>Ambiente, energía y clima</v>
      </c>
      <c r="O73" s="9" t="n">
        <f aca="false">INDEX('Taxonomía temas'!$F$2:$F$54,MATCH(K73,'Taxonomía temas'!$A$2:$A$54,0))</f>
        <v>15</v>
      </c>
      <c r="P73" s="7"/>
      <c r="Q73" s="7" t="s">
        <v>177</v>
      </c>
      <c r="R73" s="7" t="s">
        <v>68</v>
      </c>
      <c r="S73" s="7" t="s">
        <v>68</v>
      </c>
      <c r="T73" s="7" t="s">
        <v>68</v>
      </c>
      <c r="U73" s="7" t="s">
        <v>68</v>
      </c>
      <c r="V73" s="7"/>
      <c r="W73" s="9" t="str">
        <f aca="false">IF(V73="","No","Sí")</f>
        <v>No</v>
      </c>
      <c r="X73" s="6"/>
      <c r="Y73" s="6" t="s">
        <v>696</v>
      </c>
      <c r="Z73" s="6" t="s">
        <v>721</v>
      </c>
      <c r="AA73" s="6" t="s">
        <v>720</v>
      </c>
      <c r="AB73" s="6" t="s">
        <v>71</v>
      </c>
      <c r="AC73" s="6" t="s">
        <v>667</v>
      </c>
      <c r="AD73" s="6" t="s">
        <v>722</v>
      </c>
      <c r="AE73" s="6" t="s">
        <v>74</v>
      </c>
    </row>
    <row r="74" customFormat="false" ht="23.85" hidden="false" customHeight="false" outlineLevel="0" collapsed="false">
      <c r="A74" s="6" t="s">
        <v>723</v>
      </c>
      <c r="B74" s="4" t="s">
        <v>724</v>
      </c>
      <c r="C74" s="6" t="s">
        <v>725</v>
      </c>
      <c r="D74" s="7" t="s">
        <v>60</v>
      </c>
      <c r="E74" s="6" t="s">
        <v>61</v>
      </c>
      <c r="F74" s="6" t="s">
        <v>702</v>
      </c>
      <c r="G74" s="6" t="s">
        <v>60</v>
      </c>
      <c r="H74" s="4" t="s">
        <v>726</v>
      </c>
      <c r="I74" s="8" t="s">
        <v>727</v>
      </c>
      <c r="J74" s="7" t="s">
        <v>705</v>
      </c>
      <c r="K74" s="9" t="str">
        <f aca="false">LEFT(J74,3)</f>
        <v>T35</v>
      </c>
      <c r="L74" s="7"/>
      <c r="M74" s="9" t="str">
        <f aca="false">IF(L74="",K74,K74&amp;"; "&amp;L74)</f>
        <v>T35</v>
      </c>
      <c r="N74" s="9" t="str">
        <f aca="false">INDEX('Taxonomía temas'!$D$2:$D$54,MATCH(K74,'Taxonomía temas'!$A$2:$A$54,0))</f>
        <v>Ambiente, energía y clima</v>
      </c>
      <c r="O74" s="9" t="n">
        <f aca="false">INDEX('Taxonomía temas'!$F$2:$F$54,MATCH(K74,'Taxonomía temas'!$A$2:$A$54,0))</f>
        <v>13</v>
      </c>
      <c r="P74" s="7"/>
      <c r="Q74" s="7" t="s">
        <v>326</v>
      </c>
      <c r="R74" s="7" t="s">
        <v>68</v>
      </c>
      <c r="S74" s="7" t="s">
        <v>68</v>
      </c>
      <c r="T74" s="7" t="s">
        <v>68</v>
      </c>
      <c r="U74" s="7" t="s">
        <v>68</v>
      </c>
      <c r="V74" s="7" t="s">
        <v>728</v>
      </c>
      <c r="W74" s="9" t="str">
        <f aca="false">IF(V74="","No","Sí")</f>
        <v>Sí</v>
      </c>
      <c r="X74" s="6"/>
      <c r="Y74" s="6"/>
      <c r="Z74" s="6" t="s">
        <v>729</v>
      </c>
      <c r="AA74" s="6" t="s">
        <v>727</v>
      </c>
      <c r="AB74" s="6" t="s">
        <v>71</v>
      </c>
      <c r="AC74" s="6" t="s">
        <v>667</v>
      </c>
      <c r="AD74" s="6" t="s">
        <v>730</v>
      </c>
      <c r="AE74" s="6" t="s">
        <v>74</v>
      </c>
    </row>
    <row r="75" customFormat="false" ht="23.85" hidden="false" customHeight="false" outlineLevel="0" collapsed="false">
      <c r="A75" s="6" t="s">
        <v>731</v>
      </c>
      <c r="B75" s="4" t="s">
        <v>732</v>
      </c>
      <c r="C75" s="6" t="s">
        <v>733</v>
      </c>
      <c r="D75" s="7" t="s">
        <v>60</v>
      </c>
      <c r="E75" s="6" t="s">
        <v>78</v>
      </c>
      <c r="F75" s="6" t="s">
        <v>196</v>
      </c>
      <c r="G75" s="6" t="s">
        <v>60</v>
      </c>
      <c r="H75" s="4" t="s">
        <v>734</v>
      </c>
      <c r="I75" s="8" t="s">
        <v>735</v>
      </c>
      <c r="J75" s="7" t="s">
        <v>662</v>
      </c>
      <c r="K75" s="9" t="str">
        <f aca="false">LEFT(J75,3)</f>
        <v>T34</v>
      </c>
      <c r="L75" s="7"/>
      <c r="M75" s="9" t="str">
        <f aca="false">IF(L75="",K75,K75&amp;"; "&amp;L75)</f>
        <v>T34</v>
      </c>
      <c r="N75" s="9" t="str">
        <f aca="false">INDEX('Taxonomía temas'!$D$2:$D$54,MATCH(K75,'Taxonomía temas'!$A$2:$A$54,0))</f>
        <v>Ambiente, energía y clima</v>
      </c>
      <c r="O75" s="9" t="n">
        <f aca="false">INDEX('Taxonomía temas'!$F$2:$F$54,MATCH(K75,'Taxonomía temas'!$A$2:$A$54,0))</f>
        <v>7</v>
      </c>
      <c r="P75" s="7"/>
      <c r="Q75" s="7" t="s">
        <v>177</v>
      </c>
      <c r="R75" s="7" t="s">
        <v>68</v>
      </c>
      <c r="S75" s="7" t="s">
        <v>68</v>
      </c>
      <c r="T75" s="7" t="s">
        <v>68</v>
      </c>
      <c r="U75" s="7" t="s">
        <v>68</v>
      </c>
      <c r="V75" s="7"/>
      <c r="W75" s="9" t="str">
        <f aca="false">IF(V75="","No","Sí")</f>
        <v>No</v>
      </c>
      <c r="X75" s="6"/>
      <c r="Y75" s="6"/>
      <c r="Z75" s="6" t="s">
        <v>736</v>
      </c>
      <c r="AA75" s="4" t="s">
        <v>737</v>
      </c>
      <c r="AB75" s="6" t="s">
        <v>71</v>
      </c>
      <c r="AC75" s="6" t="s">
        <v>667</v>
      </c>
      <c r="AD75" s="6" t="s">
        <v>738</v>
      </c>
      <c r="AE75" s="6" t="s">
        <v>74</v>
      </c>
    </row>
    <row r="76" customFormat="false" ht="23.85" hidden="false" customHeight="false" outlineLevel="0" collapsed="false">
      <c r="A76" s="6" t="s">
        <v>739</v>
      </c>
      <c r="B76" s="4" t="s">
        <v>740</v>
      </c>
      <c r="C76" s="6" t="s">
        <v>741</v>
      </c>
      <c r="D76" s="7" t="s">
        <v>60</v>
      </c>
      <c r="E76" s="6" t="s">
        <v>259</v>
      </c>
      <c r="F76" s="6" t="s">
        <v>196</v>
      </c>
      <c r="G76" s="6" t="s">
        <v>60</v>
      </c>
      <c r="H76" s="4" t="s">
        <v>742</v>
      </c>
      <c r="I76" s="8" t="s">
        <v>743</v>
      </c>
      <c r="J76" s="7" t="s">
        <v>694</v>
      </c>
      <c r="K76" s="9" t="str">
        <f aca="false">LEFT(J76,3)</f>
        <v>T32</v>
      </c>
      <c r="L76" s="7" t="s">
        <v>357</v>
      </c>
      <c r="M76" s="9" t="str">
        <f aca="false">IF(L76="",K76,K76&amp;"; "&amp;L76)</f>
        <v>T32; T04; T41</v>
      </c>
      <c r="N76" s="9" t="str">
        <f aca="false">INDEX('Taxonomía temas'!$D$2:$D$54,MATCH(K76,'Taxonomía temas'!$A$2:$A$54,0))</f>
        <v>Ambiente, energía y clima</v>
      </c>
      <c r="O76" s="9" t="n">
        <f aca="false">INDEX('Taxonomía temas'!$F$2:$F$54,MATCH(K76,'Taxonomía temas'!$A$2:$A$54,0))</f>
        <v>15</v>
      </c>
      <c r="P76" s="7"/>
      <c r="Q76" s="7" t="s">
        <v>177</v>
      </c>
      <c r="R76" s="7" t="s">
        <v>224</v>
      </c>
      <c r="S76" s="7" t="s">
        <v>68</v>
      </c>
      <c r="T76" s="7" t="s">
        <v>224</v>
      </c>
      <c r="U76" s="7" t="s">
        <v>68</v>
      </c>
      <c r="V76" s="7" t="s">
        <v>744</v>
      </c>
      <c r="W76" s="9" t="str">
        <f aca="false">IF(V76="","No","Sí")</f>
        <v>Sí</v>
      </c>
      <c r="X76" s="6"/>
      <c r="Y76" s="6"/>
      <c r="Z76" s="6" t="s">
        <v>745</v>
      </c>
      <c r="AA76" s="4" t="s">
        <v>746</v>
      </c>
      <c r="AB76" s="6" t="s">
        <v>71</v>
      </c>
      <c r="AC76" s="6" t="s">
        <v>667</v>
      </c>
      <c r="AD76" s="6" t="s">
        <v>747</v>
      </c>
      <c r="AE76" s="6" t="s">
        <v>74</v>
      </c>
    </row>
    <row r="77" customFormat="false" ht="23.85" hidden="false" customHeight="false" outlineLevel="0" collapsed="false">
      <c r="A77" s="6" t="s">
        <v>748</v>
      </c>
      <c r="B77" s="4" t="s">
        <v>749</v>
      </c>
      <c r="C77" s="6" t="s">
        <v>750</v>
      </c>
      <c r="D77" s="7" t="s">
        <v>60</v>
      </c>
      <c r="E77" s="6" t="s">
        <v>61</v>
      </c>
      <c r="F77" s="6" t="s">
        <v>196</v>
      </c>
      <c r="G77" s="6" t="s">
        <v>60</v>
      </c>
      <c r="H77" s="4" t="s">
        <v>751</v>
      </c>
      <c r="I77" s="8" t="s">
        <v>752</v>
      </c>
      <c r="J77" s="7" t="s">
        <v>753</v>
      </c>
      <c r="K77" s="9" t="str">
        <f aca="false">LEFT(J77,3)</f>
        <v>T38</v>
      </c>
      <c r="L77" s="7"/>
      <c r="M77" s="9" t="str">
        <f aca="false">IF(L77="",K77,K77&amp;"; "&amp;L77)</f>
        <v>T38</v>
      </c>
      <c r="N77" s="9" t="str">
        <f aca="false">INDEX('Taxonomía temas'!$D$2:$D$54,MATCH(K77,'Taxonomía temas'!$A$2:$A$54,0))</f>
        <v>Ambiente, energía y clima</v>
      </c>
      <c r="O77" s="9" t="n">
        <f aca="false">INDEX('Taxonomía temas'!$F$2:$F$54,MATCH(K77,'Taxonomía temas'!$A$2:$A$54,0))</f>
        <v>11</v>
      </c>
      <c r="P77" s="7"/>
      <c r="Q77" s="7" t="s">
        <v>177</v>
      </c>
      <c r="R77" s="7" t="s">
        <v>68</v>
      </c>
      <c r="S77" s="7" t="s">
        <v>68</v>
      </c>
      <c r="T77" s="7" t="s">
        <v>224</v>
      </c>
      <c r="U77" s="7" t="s">
        <v>68</v>
      </c>
      <c r="V77" s="7"/>
      <c r="W77" s="9" t="str">
        <f aca="false">IF(V77="","No","Sí")</f>
        <v>No</v>
      </c>
      <c r="X77" s="6" t="s">
        <v>754</v>
      </c>
      <c r="Y77" s="6"/>
      <c r="Z77" s="6" t="s">
        <v>755</v>
      </c>
      <c r="AA77" s="6" t="s">
        <v>752</v>
      </c>
      <c r="AB77" s="6" t="s">
        <v>71</v>
      </c>
      <c r="AC77" s="6" t="s">
        <v>667</v>
      </c>
      <c r="AD77" s="6" t="s">
        <v>756</v>
      </c>
      <c r="AE77" s="6" t="s">
        <v>74</v>
      </c>
    </row>
    <row r="78" customFormat="false" ht="23.85" hidden="false" customHeight="false" outlineLevel="0" collapsed="false">
      <c r="A78" s="6" t="s">
        <v>757</v>
      </c>
      <c r="B78" s="4" t="s">
        <v>758</v>
      </c>
      <c r="C78" s="6" t="s">
        <v>285</v>
      </c>
      <c r="D78" s="7" t="s">
        <v>286</v>
      </c>
      <c r="E78" s="6" t="s">
        <v>287</v>
      </c>
      <c r="F78" s="6" t="s">
        <v>212</v>
      </c>
      <c r="G78" s="6" t="s">
        <v>288</v>
      </c>
      <c r="H78" s="4" t="s">
        <v>759</v>
      </c>
      <c r="I78" s="8" t="s">
        <v>760</v>
      </c>
      <c r="J78" s="7" t="s">
        <v>694</v>
      </c>
      <c r="K78" s="9" t="str">
        <f aca="false">LEFT(J78,3)</f>
        <v>T32</v>
      </c>
      <c r="L78" s="7" t="s">
        <v>761</v>
      </c>
      <c r="M78" s="9" t="str">
        <f aca="false">IF(L78="",K78,K78&amp;"; "&amp;L78)</f>
        <v>T32; T33; T36</v>
      </c>
      <c r="N78" s="9" t="str">
        <f aca="false">INDEX('Taxonomía temas'!$D$2:$D$54,MATCH(K78,'Taxonomía temas'!$A$2:$A$54,0))</f>
        <v>Ambiente, energía y clima</v>
      </c>
      <c r="O78" s="9" t="n">
        <f aca="false">INDEX('Taxonomía temas'!$F$2:$F$54,MATCH(K78,'Taxonomía temas'!$A$2:$A$54,0))</f>
        <v>15</v>
      </c>
      <c r="P78" s="7" t="s">
        <v>253</v>
      </c>
      <c r="Q78" s="7" t="s">
        <v>177</v>
      </c>
      <c r="R78" s="7" t="s">
        <v>68</v>
      </c>
      <c r="S78" s="7" t="s">
        <v>68</v>
      </c>
      <c r="T78" s="7" t="s">
        <v>224</v>
      </c>
      <c r="U78" s="7" t="s">
        <v>68</v>
      </c>
      <c r="V78" s="7"/>
      <c r="W78" s="9" t="str">
        <f aca="false">IF(V78="","No","Sí")</f>
        <v>No</v>
      </c>
      <c r="X78" s="6"/>
      <c r="Y78" s="6" t="s">
        <v>292</v>
      </c>
      <c r="Z78" s="6" t="s">
        <v>479</v>
      </c>
      <c r="AA78" s="6" t="s">
        <v>760</v>
      </c>
      <c r="AB78" s="6" t="s">
        <v>71</v>
      </c>
      <c r="AC78" s="6" t="s">
        <v>667</v>
      </c>
      <c r="AD78" s="6" t="s">
        <v>762</v>
      </c>
      <c r="AE78" s="6" t="s">
        <v>74</v>
      </c>
    </row>
    <row r="79" customFormat="false" ht="23.85" hidden="false" customHeight="false" outlineLevel="0" collapsed="false">
      <c r="A79" s="6" t="s">
        <v>763</v>
      </c>
      <c r="B79" s="4" t="s">
        <v>696</v>
      </c>
      <c r="C79" s="6" t="s">
        <v>691</v>
      </c>
      <c r="D79" s="7" t="s">
        <v>60</v>
      </c>
      <c r="E79" s="6" t="s">
        <v>61</v>
      </c>
      <c r="F79" s="6" t="s">
        <v>242</v>
      </c>
      <c r="G79" s="6" t="s">
        <v>60</v>
      </c>
      <c r="H79" s="4" t="s">
        <v>764</v>
      </c>
      <c r="I79" s="8" t="s">
        <v>765</v>
      </c>
      <c r="J79" s="7" t="s">
        <v>694</v>
      </c>
      <c r="K79" s="9" t="str">
        <f aca="false">LEFT(J79,3)</f>
        <v>T32</v>
      </c>
      <c r="L79" s="7" t="s">
        <v>766</v>
      </c>
      <c r="M79" s="9" t="str">
        <f aca="false">IF(L79="",K79,K79&amp;"; "&amp;L79)</f>
        <v>T32; T33; T36; T35</v>
      </c>
      <c r="N79" s="9" t="str">
        <f aca="false">INDEX('Taxonomía temas'!$D$2:$D$54,MATCH(K79,'Taxonomía temas'!$A$2:$A$54,0))</f>
        <v>Ambiente, energía y clima</v>
      </c>
      <c r="O79" s="9" t="n">
        <f aca="false">INDEX('Taxonomía temas'!$F$2:$F$54,MATCH(K79,'Taxonomía temas'!$A$2:$A$54,0))</f>
        <v>15</v>
      </c>
      <c r="P79" s="7"/>
      <c r="Q79" s="7" t="s">
        <v>67</v>
      </c>
      <c r="R79" s="7" t="s">
        <v>68</v>
      </c>
      <c r="S79" s="7" t="s">
        <v>68</v>
      </c>
      <c r="T79" s="7" t="s">
        <v>68</v>
      </c>
      <c r="U79" s="7" t="s">
        <v>68</v>
      </c>
      <c r="V79" s="7"/>
      <c r="W79" s="9" t="str">
        <f aca="false">IF(V79="","No","Sí")</f>
        <v>No</v>
      </c>
      <c r="X79" s="6"/>
      <c r="Y79" s="6"/>
      <c r="Z79" s="6" t="s">
        <v>767</v>
      </c>
      <c r="AA79" s="6" t="s">
        <v>768</v>
      </c>
      <c r="AB79" s="6" t="s">
        <v>71</v>
      </c>
      <c r="AC79" s="6" t="s">
        <v>667</v>
      </c>
      <c r="AD79" s="6" t="s">
        <v>769</v>
      </c>
      <c r="AE79" s="6" t="s">
        <v>74</v>
      </c>
    </row>
    <row r="80" customFormat="false" ht="23.85" hidden="false" customHeight="false" outlineLevel="0" collapsed="false">
      <c r="A80" s="6" t="s">
        <v>770</v>
      </c>
      <c r="B80" s="4" t="s">
        <v>771</v>
      </c>
      <c r="C80" s="6" t="s">
        <v>194</v>
      </c>
      <c r="D80" s="7" t="s">
        <v>60</v>
      </c>
      <c r="E80" s="6" t="s">
        <v>195</v>
      </c>
      <c r="F80" s="6" t="s">
        <v>579</v>
      </c>
      <c r="G80" s="6" t="s">
        <v>60</v>
      </c>
      <c r="H80" s="4" t="s">
        <v>772</v>
      </c>
      <c r="I80" s="8" t="s">
        <v>773</v>
      </c>
      <c r="J80" s="7" t="s">
        <v>662</v>
      </c>
      <c r="K80" s="9" t="str">
        <f aca="false">LEFT(J80,3)</f>
        <v>T34</v>
      </c>
      <c r="L80" s="7" t="s">
        <v>663</v>
      </c>
      <c r="M80" s="9" t="str">
        <f aca="false">IF(L80="",K80,K80&amp;"; "&amp;L80)</f>
        <v>T34; T35</v>
      </c>
      <c r="N80" s="9" t="str">
        <f aca="false">INDEX('Taxonomía temas'!$D$2:$D$54,MATCH(K80,'Taxonomía temas'!$A$2:$A$54,0))</f>
        <v>Ambiente, energía y clima</v>
      </c>
      <c r="O80" s="9" t="n">
        <f aca="false">INDEX('Taxonomía temas'!$F$2:$F$54,MATCH(K80,'Taxonomía temas'!$A$2:$A$54,0))</f>
        <v>7</v>
      </c>
      <c r="P80" s="7"/>
      <c r="Q80" s="7" t="s">
        <v>67</v>
      </c>
      <c r="R80" s="7" t="s">
        <v>68</v>
      </c>
      <c r="S80" s="7" t="s">
        <v>68</v>
      </c>
      <c r="T80" s="7" t="s">
        <v>68</v>
      </c>
      <c r="U80" s="7" t="s">
        <v>68</v>
      </c>
      <c r="V80" s="7"/>
      <c r="W80" s="9" t="str">
        <f aca="false">IF(V80="","No","Sí")</f>
        <v>No</v>
      </c>
      <c r="X80" s="6"/>
      <c r="Y80" s="6"/>
      <c r="Z80" s="6" t="s">
        <v>774</v>
      </c>
      <c r="AA80" s="6" t="s">
        <v>773</v>
      </c>
      <c r="AB80" s="6" t="s">
        <v>71</v>
      </c>
      <c r="AC80" s="6" t="s">
        <v>667</v>
      </c>
      <c r="AD80" s="6" t="s">
        <v>775</v>
      </c>
      <c r="AE80" s="6" t="s">
        <v>74</v>
      </c>
    </row>
    <row r="81" customFormat="false" ht="15" hidden="false" customHeight="false" outlineLevel="0" collapsed="false">
      <c r="A81" s="6" t="s">
        <v>776</v>
      </c>
      <c r="B81" s="4" t="s">
        <v>777</v>
      </c>
      <c r="C81" s="6" t="s">
        <v>778</v>
      </c>
      <c r="D81" s="7" t="s">
        <v>60</v>
      </c>
      <c r="E81" s="6" t="s">
        <v>545</v>
      </c>
      <c r="F81" s="6" t="s">
        <v>242</v>
      </c>
      <c r="G81" s="6" t="s">
        <v>60</v>
      </c>
      <c r="H81" s="4" t="s">
        <v>779</v>
      </c>
      <c r="I81" s="8" t="s">
        <v>780</v>
      </c>
      <c r="J81" s="7" t="s">
        <v>781</v>
      </c>
      <c r="K81" s="9" t="str">
        <f aca="false">LEFT(J81,3)</f>
        <v>T36</v>
      </c>
      <c r="L81" s="7"/>
      <c r="M81" s="9" t="str">
        <f aca="false">IF(L81="",K81,K81&amp;"; "&amp;L81)</f>
        <v>T36</v>
      </c>
      <c r="N81" s="9" t="str">
        <f aca="false">INDEX('Taxonomía temas'!$D$2:$D$54,MATCH(K81,'Taxonomía temas'!$A$2:$A$54,0))</f>
        <v>Ambiente, energía y clima</v>
      </c>
      <c r="O81" s="9" t="n">
        <f aca="false">INDEX('Taxonomía temas'!$F$2:$F$54,MATCH(K81,'Taxonomía temas'!$A$2:$A$54,0))</f>
        <v>12</v>
      </c>
      <c r="P81" s="7"/>
      <c r="Q81" s="7" t="s">
        <v>67</v>
      </c>
      <c r="R81" s="7" t="s">
        <v>68</v>
      </c>
      <c r="S81" s="7" t="s">
        <v>68</v>
      </c>
      <c r="T81" s="7" t="s">
        <v>68</v>
      </c>
      <c r="U81" s="7" t="s">
        <v>68</v>
      </c>
      <c r="V81" s="7"/>
      <c r="W81" s="9" t="str">
        <f aca="false">IF(V81="","No","Sí")</f>
        <v>No</v>
      </c>
      <c r="X81" s="6"/>
      <c r="Y81" s="6"/>
      <c r="Z81" s="6" t="s">
        <v>782</v>
      </c>
      <c r="AA81" s="6" t="s">
        <v>780</v>
      </c>
      <c r="AB81" s="6" t="s">
        <v>71</v>
      </c>
      <c r="AC81" s="6" t="s">
        <v>667</v>
      </c>
      <c r="AD81" s="6" t="s">
        <v>783</v>
      </c>
      <c r="AE81" s="6" t="s">
        <v>74</v>
      </c>
    </row>
    <row r="82" customFormat="false" ht="23.85" hidden="false" customHeight="false" outlineLevel="0" collapsed="false">
      <c r="A82" s="6" t="s">
        <v>784</v>
      </c>
      <c r="B82" s="4" t="s">
        <v>785</v>
      </c>
      <c r="C82" s="6" t="s">
        <v>680</v>
      </c>
      <c r="D82" s="7" t="s">
        <v>60</v>
      </c>
      <c r="E82" s="6" t="s">
        <v>61</v>
      </c>
      <c r="F82" s="6" t="s">
        <v>242</v>
      </c>
      <c r="G82" s="6" t="s">
        <v>681</v>
      </c>
      <c r="H82" s="4" t="s">
        <v>786</v>
      </c>
      <c r="I82" s="8" t="s">
        <v>787</v>
      </c>
      <c r="J82" s="7" t="s">
        <v>684</v>
      </c>
      <c r="K82" s="9" t="str">
        <f aca="false">LEFT(J82,3)</f>
        <v>T33</v>
      </c>
      <c r="L82" s="7" t="s">
        <v>788</v>
      </c>
      <c r="M82" s="9" t="str">
        <f aca="false">IF(L82="",K82,K82&amp;"; "&amp;L82)</f>
        <v>T33; T38</v>
      </c>
      <c r="N82" s="9" t="str">
        <f aca="false">INDEX('Taxonomía temas'!$D$2:$D$54,MATCH(K82,'Taxonomía temas'!$A$2:$A$54,0))</f>
        <v>Ambiente, energía y clima</v>
      </c>
      <c r="O82" s="9" t="n">
        <f aca="false">INDEX('Taxonomía temas'!$F$2:$F$54,MATCH(K82,'Taxonomía temas'!$A$2:$A$54,0))</f>
        <v>6</v>
      </c>
      <c r="P82" s="7"/>
      <c r="Q82" s="7" t="s">
        <v>67</v>
      </c>
      <c r="R82" s="7" t="s">
        <v>68</v>
      </c>
      <c r="S82" s="7" t="s">
        <v>68</v>
      </c>
      <c r="T82" s="7" t="s">
        <v>68</v>
      </c>
      <c r="U82" s="7" t="s">
        <v>68</v>
      </c>
      <c r="V82" s="7"/>
      <c r="W82" s="9" t="str">
        <f aca="false">IF(V82="","No","Sí")</f>
        <v>No</v>
      </c>
      <c r="X82" s="6"/>
      <c r="Y82" s="6"/>
      <c r="Z82" s="6" t="s">
        <v>789</v>
      </c>
      <c r="AA82" s="6" t="s">
        <v>787</v>
      </c>
      <c r="AB82" s="6" t="s">
        <v>71</v>
      </c>
      <c r="AC82" s="6" t="s">
        <v>667</v>
      </c>
      <c r="AD82" s="6" t="s">
        <v>790</v>
      </c>
      <c r="AE82" s="6" t="s">
        <v>74</v>
      </c>
    </row>
    <row r="83" customFormat="false" ht="15" hidden="false" customHeight="false" outlineLevel="0" collapsed="false">
      <c r="A83" s="6" t="s">
        <v>791</v>
      </c>
      <c r="B83" s="4" t="s">
        <v>792</v>
      </c>
      <c r="C83" s="6" t="s">
        <v>701</v>
      </c>
      <c r="D83" s="7" t="s">
        <v>60</v>
      </c>
      <c r="E83" s="6" t="s">
        <v>78</v>
      </c>
      <c r="F83" s="6" t="s">
        <v>344</v>
      </c>
      <c r="G83" s="6" t="s">
        <v>60</v>
      </c>
      <c r="H83" s="4" t="s">
        <v>793</v>
      </c>
      <c r="I83" s="8" t="s">
        <v>794</v>
      </c>
      <c r="J83" s="7" t="s">
        <v>65</v>
      </c>
      <c r="K83" s="9" t="str">
        <f aca="false">LEFT(J83,3)</f>
        <v>T04</v>
      </c>
      <c r="L83" s="7" t="s">
        <v>347</v>
      </c>
      <c r="M83" s="9" t="str">
        <f aca="false">IF(L83="",K83,K83&amp;"; "&amp;L83)</f>
        <v>T04; T35; T37; T41</v>
      </c>
      <c r="N83" s="9" t="str">
        <f aca="false">INDEX('Taxonomía temas'!$D$2:$D$54,MATCH(K83,'Taxonomía temas'!$A$2:$A$54,0))</f>
        <v>Economía y producción</v>
      </c>
      <c r="O83" s="9" t="n">
        <f aca="false">INDEX('Taxonomía temas'!$F$2:$F$54,MATCH(K83,'Taxonomía temas'!$A$2:$A$54,0))</f>
        <v>2</v>
      </c>
      <c r="P83" s="7"/>
      <c r="Q83" s="7" t="s">
        <v>177</v>
      </c>
      <c r="R83" s="7" t="s">
        <v>68</v>
      </c>
      <c r="S83" s="7" t="s">
        <v>68</v>
      </c>
      <c r="T83" s="7" t="s">
        <v>224</v>
      </c>
      <c r="U83" s="7" t="s">
        <v>68</v>
      </c>
      <c r="V83" s="7"/>
      <c r="W83" s="9" t="str">
        <f aca="false">IF(V83="","No","Sí")</f>
        <v>No</v>
      </c>
      <c r="X83" s="6"/>
      <c r="Y83" s="6"/>
      <c r="Z83" s="6" t="s">
        <v>795</v>
      </c>
      <c r="AA83" s="6" t="s">
        <v>794</v>
      </c>
      <c r="AB83" s="6" t="s">
        <v>71</v>
      </c>
      <c r="AC83" s="6" t="s">
        <v>667</v>
      </c>
      <c r="AD83" s="6" t="s">
        <v>796</v>
      </c>
      <c r="AE83" s="6" t="s">
        <v>74</v>
      </c>
    </row>
    <row r="84" customFormat="false" ht="23.85" hidden="false" customHeight="false" outlineLevel="0" collapsed="false">
      <c r="A84" s="6" t="s">
        <v>797</v>
      </c>
      <c r="B84" s="4" t="s">
        <v>798</v>
      </c>
      <c r="C84" s="6" t="s">
        <v>799</v>
      </c>
      <c r="D84" s="7" t="s">
        <v>60</v>
      </c>
      <c r="E84" s="6" t="s">
        <v>259</v>
      </c>
      <c r="F84" s="6" t="s">
        <v>174</v>
      </c>
      <c r="G84" s="6" t="s">
        <v>60</v>
      </c>
      <c r="H84" s="4" t="s">
        <v>800</v>
      </c>
      <c r="I84" s="8" t="s">
        <v>801</v>
      </c>
      <c r="J84" s="7" t="s">
        <v>705</v>
      </c>
      <c r="K84" s="9" t="str">
        <f aca="false">LEFT(J84,3)</f>
        <v>T35</v>
      </c>
      <c r="L84" s="7"/>
      <c r="M84" s="9" t="str">
        <f aca="false">IF(L84="",K84,K84&amp;"; "&amp;L84)</f>
        <v>T35</v>
      </c>
      <c r="N84" s="9" t="str">
        <f aca="false">INDEX('Taxonomía temas'!$D$2:$D$54,MATCH(K84,'Taxonomía temas'!$A$2:$A$54,0))</f>
        <v>Ambiente, energía y clima</v>
      </c>
      <c r="O84" s="9" t="n">
        <f aca="false">INDEX('Taxonomía temas'!$F$2:$F$54,MATCH(K84,'Taxonomía temas'!$A$2:$A$54,0))</f>
        <v>13</v>
      </c>
      <c r="P84" s="7"/>
      <c r="Q84" s="7" t="s">
        <v>177</v>
      </c>
      <c r="R84" s="7" t="s">
        <v>68</v>
      </c>
      <c r="S84" s="7" t="s">
        <v>68</v>
      </c>
      <c r="T84" s="7" t="s">
        <v>68</v>
      </c>
      <c r="U84" s="7" t="s">
        <v>68</v>
      </c>
      <c r="V84" s="7"/>
      <c r="W84" s="9" t="str">
        <f aca="false">IF(V84="","No","Sí")</f>
        <v>No</v>
      </c>
      <c r="X84" s="6"/>
      <c r="Y84" s="6"/>
      <c r="Z84" s="6" t="s">
        <v>802</v>
      </c>
      <c r="AA84" s="6" t="s">
        <v>801</v>
      </c>
      <c r="AB84" s="6" t="s">
        <v>71</v>
      </c>
      <c r="AC84" s="6" t="s">
        <v>667</v>
      </c>
      <c r="AD84" s="6" t="s">
        <v>803</v>
      </c>
      <c r="AE84" s="6" t="s">
        <v>74</v>
      </c>
    </row>
    <row r="85" customFormat="false" ht="23.85" hidden="false" customHeight="false" outlineLevel="0" collapsed="false">
      <c r="A85" s="6" t="s">
        <v>804</v>
      </c>
      <c r="B85" s="4" t="s">
        <v>805</v>
      </c>
      <c r="C85" s="6" t="s">
        <v>691</v>
      </c>
      <c r="D85" s="7" t="s">
        <v>60</v>
      </c>
      <c r="E85" s="6" t="s">
        <v>61</v>
      </c>
      <c r="F85" s="6" t="s">
        <v>344</v>
      </c>
      <c r="G85" s="6" t="s">
        <v>60</v>
      </c>
      <c r="H85" s="4" t="s">
        <v>806</v>
      </c>
      <c r="I85" s="8" t="s">
        <v>807</v>
      </c>
      <c r="J85" s="7" t="s">
        <v>705</v>
      </c>
      <c r="K85" s="9" t="str">
        <f aca="false">LEFT(J85,3)</f>
        <v>T35</v>
      </c>
      <c r="L85" s="7" t="s">
        <v>808</v>
      </c>
      <c r="M85" s="9" t="str">
        <f aca="false">IF(L85="",K85,K85&amp;"; "&amp;L85)</f>
        <v>T35; T38; T41</v>
      </c>
      <c r="N85" s="9" t="str">
        <f aca="false">INDEX('Taxonomía temas'!$D$2:$D$54,MATCH(K85,'Taxonomía temas'!$A$2:$A$54,0))</f>
        <v>Ambiente, energía y clima</v>
      </c>
      <c r="O85" s="9" t="n">
        <f aca="false">INDEX('Taxonomía temas'!$F$2:$F$54,MATCH(K85,'Taxonomía temas'!$A$2:$A$54,0))</f>
        <v>13</v>
      </c>
      <c r="P85" s="7"/>
      <c r="Q85" s="7" t="s">
        <v>177</v>
      </c>
      <c r="R85" s="7" t="s">
        <v>68</v>
      </c>
      <c r="S85" s="7" t="s">
        <v>68</v>
      </c>
      <c r="T85" s="7" t="s">
        <v>224</v>
      </c>
      <c r="U85" s="7" t="s">
        <v>68</v>
      </c>
      <c r="V85" s="7"/>
      <c r="W85" s="9" t="str">
        <f aca="false">IF(V85="","No","Sí")</f>
        <v>No</v>
      </c>
      <c r="X85" s="6"/>
      <c r="Y85" s="6"/>
      <c r="Z85" s="6" t="s">
        <v>809</v>
      </c>
      <c r="AA85" s="6" t="s">
        <v>807</v>
      </c>
      <c r="AB85" s="6" t="s">
        <v>71</v>
      </c>
      <c r="AC85" s="6" t="s">
        <v>667</v>
      </c>
      <c r="AD85" s="6" t="s">
        <v>810</v>
      </c>
      <c r="AE85" s="6" t="s">
        <v>74</v>
      </c>
    </row>
    <row r="86" customFormat="false" ht="23.85" hidden="false" customHeight="false" outlineLevel="0" collapsed="false">
      <c r="A86" s="6" t="s">
        <v>811</v>
      </c>
      <c r="B86" s="4" t="s">
        <v>812</v>
      </c>
      <c r="C86" s="6" t="s">
        <v>813</v>
      </c>
      <c r="D86" s="7" t="s">
        <v>60</v>
      </c>
      <c r="E86" s="6" t="s">
        <v>61</v>
      </c>
      <c r="F86" s="6" t="s">
        <v>212</v>
      </c>
      <c r="G86" s="6" t="s">
        <v>60</v>
      </c>
      <c r="H86" s="4" t="s">
        <v>814</v>
      </c>
      <c r="I86" s="8" t="s">
        <v>815</v>
      </c>
      <c r="J86" s="7" t="s">
        <v>662</v>
      </c>
      <c r="K86" s="9" t="str">
        <f aca="false">LEFT(J86,3)</f>
        <v>T34</v>
      </c>
      <c r="L86" s="7"/>
      <c r="M86" s="9" t="str">
        <f aca="false">IF(L86="",K86,K86&amp;"; "&amp;L86)</f>
        <v>T34</v>
      </c>
      <c r="N86" s="9" t="str">
        <f aca="false">INDEX('Taxonomía temas'!$D$2:$D$54,MATCH(K86,'Taxonomía temas'!$A$2:$A$54,0))</f>
        <v>Ambiente, energía y clima</v>
      </c>
      <c r="O86" s="9" t="n">
        <f aca="false">INDEX('Taxonomía temas'!$F$2:$F$54,MATCH(K86,'Taxonomía temas'!$A$2:$A$54,0))</f>
        <v>7</v>
      </c>
      <c r="P86" s="7"/>
      <c r="Q86" s="7" t="s">
        <v>177</v>
      </c>
      <c r="R86" s="7" t="s">
        <v>224</v>
      </c>
      <c r="S86" s="7" t="s">
        <v>68</v>
      </c>
      <c r="T86" s="7" t="s">
        <v>68</v>
      </c>
      <c r="U86" s="7" t="s">
        <v>68</v>
      </c>
      <c r="V86" s="7"/>
      <c r="W86" s="9" t="str">
        <f aca="false">IF(V86="","No","Sí")</f>
        <v>No</v>
      </c>
      <c r="X86" s="6"/>
      <c r="Y86" s="6" t="s">
        <v>658</v>
      </c>
      <c r="Z86" s="6" t="s">
        <v>816</v>
      </c>
      <c r="AA86" s="6" t="s">
        <v>815</v>
      </c>
      <c r="AB86" s="6" t="s">
        <v>71</v>
      </c>
      <c r="AC86" s="6" t="s">
        <v>667</v>
      </c>
      <c r="AD86" s="6" t="s">
        <v>817</v>
      </c>
      <c r="AE86" s="6" t="s">
        <v>74</v>
      </c>
    </row>
    <row r="87" customFormat="false" ht="23.85" hidden="false" customHeight="false" outlineLevel="0" collapsed="false">
      <c r="A87" s="6" t="s">
        <v>818</v>
      </c>
      <c r="B87" s="4" t="s">
        <v>819</v>
      </c>
      <c r="C87" s="6" t="s">
        <v>778</v>
      </c>
      <c r="D87" s="7" t="s">
        <v>60</v>
      </c>
      <c r="E87" s="6" t="s">
        <v>545</v>
      </c>
      <c r="F87" s="6" t="s">
        <v>174</v>
      </c>
      <c r="G87" s="6" t="s">
        <v>60</v>
      </c>
      <c r="H87" s="4" t="s">
        <v>820</v>
      </c>
      <c r="I87" s="8" t="s">
        <v>821</v>
      </c>
      <c r="J87" s="7" t="s">
        <v>781</v>
      </c>
      <c r="K87" s="9" t="str">
        <f aca="false">LEFT(J87,3)</f>
        <v>T36</v>
      </c>
      <c r="L87" s="7" t="s">
        <v>695</v>
      </c>
      <c r="M87" s="9" t="str">
        <f aca="false">IF(L87="",K87,K87&amp;"; "&amp;L87)</f>
        <v>T36; T41</v>
      </c>
      <c r="N87" s="9" t="str">
        <f aca="false">INDEX('Taxonomía temas'!$D$2:$D$54,MATCH(K87,'Taxonomía temas'!$A$2:$A$54,0))</f>
        <v>Ambiente, energía y clima</v>
      </c>
      <c r="O87" s="9" t="n">
        <f aca="false">INDEX('Taxonomía temas'!$F$2:$F$54,MATCH(K87,'Taxonomía temas'!$A$2:$A$54,0))</f>
        <v>12</v>
      </c>
      <c r="P87" s="7"/>
      <c r="Q87" s="7" t="s">
        <v>177</v>
      </c>
      <c r="R87" s="7" t="s">
        <v>68</v>
      </c>
      <c r="S87" s="7" t="s">
        <v>68</v>
      </c>
      <c r="T87" s="7" t="s">
        <v>224</v>
      </c>
      <c r="U87" s="7" t="s">
        <v>68</v>
      </c>
      <c r="V87" s="7"/>
      <c r="W87" s="9" t="str">
        <f aca="false">IF(V87="","No","Sí")</f>
        <v>No</v>
      </c>
      <c r="X87" s="6"/>
      <c r="Y87" s="6" t="s">
        <v>822</v>
      </c>
      <c r="Z87" s="6" t="s">
        <v>823</v>
      </c>
      <c r="AA87" s="6" t="s">
        <v>821</v>
      </c>
      <c r="AB87" s="6" t="s">
        <v>71</v>
      </c>
      <c r="AC87" s="6" t="s">
        <v>667</v>
      </c>
      <c r="AD87" s="6" t="s">
        <v>824</v>
      </c>
      <c r="AE87" s="6" t="s">
        <v>74</v>
      </c>
    </row>
    <row r="88" customFormat="false" ht="23.85" hidden="false" customHeight="false" outlineLevel="0" collapsed="false">
      <c r="A88" s="6" t="s">
        <v>825</v>
      </c>
      <c r="B88" s="4" t="s">
        <v>826</v>
      </c>
      <c r="C88" s="6" t="s">
        <v>680</v>
      </c>
      <c r="D88" s="7" t="s">
        <v>60</v>
      </c>
      <c r="E88" s="6" t="s">
        <v>61</v>
      </c>
      <c r="F88" s="6" t="s">
        <v>344</v>
      </c>
      <c r="G88" s="6" t="s">
        <v>681</v>
      </c>
      <c r="H88" s="4" t="s">
        <v>827</v>
      </c>
      <c r="I88" s="8" t="s">
        <v>828</v>
      </c>
      <c r="J88" s="7" t="s">
        <v>684</v>
      </c>
      <c r="K88" s="9" t="str">
        <f aca="false">LEFT(J88,3)</f>
        <v>T33</v>
      </c>
      <c r="L88" s="7" t="s">
        <v>808</v>
      </c>
      <c r="M88" s="9" t="str">
        <f aca="false">IF(L88="",K88,K88&amp;"; "&amp;L88)</f>
        <v>T33; T38; T41</v>
      </c>
      <c r="N88" s="9" t="str">
        <f aca="false">INDEX('Taxonomía temas'!$D$2:$D$54,MATCH(K88,'Taxonomía temas'!$A$2:$A$54,0))</f>
        <v>Ambiente, energía y clima</v>
      </c>
      <c r="O88" s="9" t="n">
        <f aca="false">INDEX('Taxonomía temas'!$F$2:$F$54,MATCH(K88,'Taxonomía temas'!$A$2:$A$54,0))</f>
        <v>6</v>
      </c>
      <c r="P88" s="7"/>
      <c r="Q88" s="7" t="s">
        <v>177</v>
      </c>
      <c r="R88" s="7" t="s">
        <v>68</v>
      </c>
      <c r="S88" s="7" t="s">
        <v>68</v>
      </c>
      <c r="T88" s="7" t="s">
        <v>224</v>
      </c>
      <c r="U88" s="7" t="s">
        <v>68</v>
      </c>
      <c r="V88" s="7"/>
      <c r="W88" s="9" t="str">
        <f aca="false">IF(V88="","No","Sí")</f>
        <v>No</v>
      </c>
      <c r="X88" s="6"/>
      <c r="Y88" s="6"/>
      <c r="Z88" s="6" t="s">
        <v>829</v>
      </c>
      <c r="AA88" s="6" t="s">
        <v>828</v>
      </c>
      <c r="AB88" s="6" t="s">
        <v>71</v>
      </c>
      <c r="AC88" s="6" t="s">
        <v>667</v>
      </c>
      <c r="AD88" s="6" t="s">
        <v>830</v>
      </c>
      <c r="AE88" s="6" t="s">
        <v>74</v>
      </c>
    </row>
    <row r="89" customFormat="false" ht="23.85" hidden="false" customHeight="false" outlineLevel="0" collapsed="false">
      <c r="A89" s="6" t="s">
        <v>831</v>
      </c>
      <c r="B89" s="4" t="s">
        <v>832</v>
      </c>
      <c r="C89" s="6" t="s">
        <v>813</v>
      </c>
      <c r="D89" s="7" t="s">
        <v>60</v>
      </c>
      <c r="E89" s="6" t="s">
        <v>61</v>
      </c>
      <c r="F89" s="6" t="s">
        <v>212</v>
      </c>
      <c r="G89" s="6" t="s">
        <v>60</v>
      </c>
      <c r="H89" s="4" t="s">
        <v>833</v>
      </c>
      <c r="I89" s="8" t="s">
        <v>834</v>
      </c>
      <c r="J89" s="7" t="s">
        <v>662</v>
      </c>
      <c r="K89" s="9" t="str">
        <f aca="false">LEFT(J89,3)</f>
        <v>T34</v>
      </c>
      <c r="L89" s="7"/>
      <c r="M89" s="9" t="str">
        <f aca="false">IF(L89="",K89,K89&amp;"; "&amp;L89)</f>
        <v>T34</v>
      </c>
      <c r="N89" s="9" t="str">
        <f aca="false">INDEX('Taxonomía temas'!$D$2:$D$54,MATCH(K89,'Taxonomía temas'!$A$2:$A$54,0))</f>
        <v>Ambiente, energía y clima</v>
      </c>
      <c r="O89" s="9" t="n">
        <f aca="false">INDEX('Taxonomía temas'!$F$2:$F$54,MATCH(K89,'Taxonomía temas'!$A$2:$A$54,0))</f>
        <v>7</v>
      </c>
      <c r="P89" s="7"/>
      <c r="Q89" s="7" t="s">
        <v>177</v>
      </c>
      <c r="R89" s="7" t="s">
        <v>68</v>
      </c>
      <c r="S89" s="7" t="s">
        <v>68</v>
      </c>
      <c r="T89" s="7" t="s">
        <v>68</v>
      </c>
      <c r="U89" s="7" t="s">
        <v>68</v>
      </c>
      <c r="V89" s="7"/>
      <c r="W89" s="9" t="str">
        <f aca="false">IF(V89="","No","Sí")</f>
        <v>No</v>
      </c>
      <c r="X89" s="6"/>
      <c r="Y89" s="6" t="s">
        <v>658</v>
      </c>
      <c r="Z89" s="6" t="s">
        <v>835</v>
      </c>
      <c r="AA89" s="6" t="s">
        <v>834</v>
      </c>
      <c r="AB89" s="6" t="s">
        <v>71</v>
      </c>
      <c r="AC89" s="6" t="s">
        <v>667</v>
      </c>
      <c r="AD89" s="6" t="s">
        <v>836</v>
      </c>
      <c r="AE89" s="6" t="s">
        <v>74</v>
      </c>
    </row>
    <row r="90" customFormat="false" ht="23.85" hidden="false" customHeight="false" outlineLevel="0" collapsed="false">
      <c r="A90" s="6" t="s">
        <v>837</v>
      </c>
      <c r="B90" s="4" t="s">
        <v>838</v>
      </c>
      <c r="C90" s="6" t="s">
        <v>839</v>
      </c>
      <c r="D90" s="7" t="s">
        <v>60</v>
      </c>
      <c r="E90" s="6" t="s">
        <v>61</v>
      </c>
      <c r="F90" s="6" t="s">
        <v>212</v>
      </c>
      <c r="G90" s="6" t="s">
        <v>840</v>
      </c>
      <c r="H90" s="4" t="s">
        <v>841</v>
      </c>
      <c r="I90" s="8" t="s">
        <v>842</v>
      </c>
      <c r="J90" s="7" t="s">
        <v>843</v>
      </c>
      <c r="K90" s="9" t="str">
        <f aca="false">LEFT(J90,3)</f>
        <v>T39</v>
      </c>
      <c r="L90" s="7"/>
      <c r="M90" s="9" t="str">
        <f aca="false">IF(L90="",K90,K90&amp;"; "&amp;L90)</f>
        <v>T39</v>
      </c>
      <c r="N90" s="9" t="str">
        <f aca="false">INDEX('Taxonomía temas'!$D$2:$D$54,MATCH(K90,'Taxonomía temas'!$A$2:$A$54,0))</f>
        <v>Territorio, vivienda y movilidad</v>
      </c>
      <c r="O90" s="9" t="n">
        <f aca="false">INDEX('Taxonomía temas'!$F$2:$F$54,MATCH(K90,'Taxonomía temas'!$A$2:$A$54,0))</f>
        <v>11</v>
      </c>
      <c r="P90" s="7" t="s">
        <v>253</v>
      </c>
      <c r="Q90" s="7" t="s">
        <v>177</v>
      </c>
      <c r="R90" s="7" t="s">
        <v>68</v>
      </c>
      <c r="S90" s="7" t="s">
        <v>68</v>
      </c>
      <c r="T90" s="7" t="s">
        <v>224</v>
      </c>
      <c r="U90" s="7" t="s">
        <v>68</v>
      </c>
      <c r="V90" s="7"/>
      <c r="W90" s="9" t="str">
        <f aca="false">IF(V90="","No","Sí")</f>
        <v>No</v>
      </c>
      <c r="X90" s="6"/>
      <c r="Y90" s="6" t="s">
        <v>844</v>
      </c>
      <c r="Z90" s="6" t="s">
        <v>845</v>
      </c>
      <c r="AA90" s="6" t="s">
        <v>846</v>
      </c>
      <c r="AB90" s="6" t="s">
        <v>71</v>
      </c>
      <c r="AC90" s="6" t="s">
        <v>847</v>
      </c>
      <c r="AD90" s="6" t="s">
        <v>848</v>
      </c>
      <c r="AE90" s="6" t="s">
        <v>74</v>
      </c>
    </row>
    <row r="91" customFormat="false" ht="15" hidden="false" customHeight="false" outlineLevel="0" collapsed="false">
      <c r="A91" s="6" t="s">
        <v>849</v>
      </c>
      <c r="B91" s="4" t="s">
        <v>850</v>
      </c>
      <c r="C91" s="6" t="s">
        <v>851</v>
      </c>
      <c r="D91" s="7" t="s">
        <v>60</v>
      </c>
      <c r="E91" s="6" t="s">
        <v>61</v>
      </c>
      <c r="F91" s="6" t="s">
        <v>344</v>
      </c>
      <c r="G91" s="6" t="s">
        <v>60</v>
      </c>
      <c r="H91" s="4" t="s">
        <v>852</v>
      </c>
      <c r="I91" s="8" t="s">
        <v>853</v>
      </c>
      <c r="J91" s="7" t="s">
        <v>92</v>
      </c>
      <c r="K91" s="9" t="str">
        <f aca="false">LEFT(J91,3)</f>
        <v>T08</v>
      </c>
      <c r="L91" s="7" t="s">
        <v>695</v>
      </c>
      <c r="M91" s="9" t="str">
        <f aca="false">IF(L91="",K91,K91&amp;"; "&amp;L91)</f>
        <v>T08; T41</v>
      </c>
      <c r="N91" s="9" t="str">
        <f aca="false">INDEX('Taxonomía temas'!$D$2:$D$54,MATCH(K91,'Taxonomía temas'!$A$2:$A$54,0))</f>
        <v>Economía y producción</v>
      </c>
      <c r="O91" s="9" t="n">
        <f aca="false">INDEX('Taxonomía temas'!$F$2:$F$54,MATCH(K91,'Taxonomía temas'!$A$2:$A$54,0))</f>
        <v>9</v>
      </c>
      <c r="P91" s="7"/>
      <c r="Q91" s="7" t="s">
        <v>177</v>
      </c>
      <c r="R91" s="7" t="s">
        <v>68</v>
      </c>
      <c r="S91" s="7" t="s">
        <v>68</v>
      </c>
      <c r="T91" s="7" t="s">
        <v>224</v>
      </c>
      <c r="U91" s="7" t="s">
        <v>68</v>
      </c>
      <c r="V91" s="7"/>
      <c r="W91" s="9" t="str">
        <f aca="false">IF(V91="","No","Sí")</f>
        <v>No</v>
      </c>
      <c r="X91" s="6"/>
      <c r="Y91" s="6"/>
      <c r="Z91" s="6" t="s">
        <v>854</v>
      </c>
      <c r="AA91" s="6" t="s">
        <v>853</v>
      </c>
      <c r="AB91" s="6" t="s">
        <v>71</v>
      </c>
      <c r="AC91" s="6" t="s">
        <v>847</v>
      </c>
      <c r="AD91" s="6" t="s">
        <v>855</v>
      </c>
      <c r="AE91" s="6" t="s">
        <v>74</v>
      </c>
    </row>
    <row r="92" customFormat="false" ht="23.85" hidden="false" customHeight="false" outlineLevel="0" collapsed="false">
      <c r="A92" s="6" t="s">
        <v>856</v>
      </c>
      <c r="B92" s="4" t="s">
        <v>857</v>
      </c>
      <c r="C92" s="6" t="s">
        <v>858</v>
      </c>
      <c r="D92" s="7" t="s">
        <v>60</v>
      </c>
      <c r="E92" s="6" t="s">
        <v>61</v>
      </c>
      <c r="F92" s="6" t="s">
        <v>344</v>
      </c>
      <c r="G92" s="6" t="s">
        <v>60</v>
      </c>
      <c r="H92" s="4" t="s">
        <v>859</v>
      </c>
      <c r="I92" s="8" t="s">
        <v>860</v>
      </c>
      <c r="J92" s="7" t="s">
        <v>861</v>
      </c>
      <c r="K92" s="9" t="str">
        <f aca="false">LEFT(J92,3)</f>
        <v>T41</v>
      </c>
      <c r="L92" s="7"/>
      <c r="M92" s="9" t="str">
        <f aca="false">IF(L92="",K92,K92&amp;"; "&amp;L92)</f>
        <v>T41</v>
      </c>
      <c r="N92" s="9" t="str">
        <f aca="false">INDEX('Taxonomía temas'!$D$2:$D$54,MATCH(K92,'Taxonomía temas'!$A$2:$A$54,0))</f>
        <v>Territorio, vivienda y movilidad</v>
      </c>
      <c r="O92" s="9" t="n">
        <f aca="false">INDEX('Taxonomía temas'!$F$2:$F$54,MATCH(K92,'Taxonomía temas'!$A$2:$A$54,0))</f>
        <v>17</v>
      </c>
      <c r="P92" s="7"/>
      <c r="Q92" s="7" t="s">
        <v>177</v>
      </c>
      <c r="R92" s="7" t="s">
        <v>68</v>
      </c>
      <c r="S92" s="7" t="s">
        <v>68</v>
      </c>
      <c r="T92" s="7" t="s">
        <v>224</v>
      </c>
      <c r="U92" s="7" t="s">
        <v>68</v>
      </c>
      <c r="V92" s="7"/>
      <c r="W92" s="9" t="str">
        <f aca="false">IF(V92="","No","Sí")</f>
        <v>No</v>
      </c>
      <c r="X92" s="6"/>
      <c r="Y92" s="6"/>
      <c r="Z92" s="6" t="s">
        <v>862</v>
      </c>
      <c r="AA92" s="6" t="s">
        <v>860</v>
      </c>
      <c r="AB92" s="6" t="s">
        <v>71</v>
      </c>
      <c r="AC92" s="6" t="s">
        <v>847</v>
      </c>
      <c r="AD92" s="6" t="s">
        <v>863</v>
      </c>
      <c r="AE92" s="6" t="s">
        <v>74</v>
      </c>
    </row>
    <row r="93" customFormat="false" ht="23.85" hidden="false" customHeight="false" outlineLevel="0" collapsed="false">
      <c r="A93" s="6" t="s">
        <v>864</v>
      </c>
      <c r="B93" s="4" t="s">
        <v>865</v>
      </c>
      <c r="C93" s="6" t="s">
        <v>510</v>
      </c>
      <c r="D93" s="7" t="s">
        <v>286</v>
      </c>
      <c r="E93" s="6" t="s">
        <v>287</v>
      </c>
      <c r="F93" s="6" t="s">
        <v>344</v>
      </c>
      <c r="G93" s="6" t="s">
        <v>511</v>
      </c>
      <c r="H93" s="4" t="s">
        <v>866</v>
      </c>
      <c r="I93" s="8" t="s">
        <v>867</v>
      </c>
      <c r="J93" s="7" t="s">
        <v>861</v>
      </c>
      <c r="K93" s="9" t="str">
        <f aca="false">LEFT(J93,3)</f>
        <v>T41</v>
      </c>
      <c r="L93" s="7" t="s">
        <v>868</v>
      </c>
      <c r="M93" s="9" t="str">
        <f aca="false">IF(L93="",K93,K93&amp;"; "&amp;L93)</f>
        <v>T41; T39</v>
      </c>
      <c r="N93" s="9" t="str">
        <f aca="false">INDEX('Taxonomía temas'!$D$2:$D$54,MATCH(K93,'Taxonomía temas'!$A$2:$A$54,0))</f>
        <v>Territorio, vivienda y movilidad</v>
      </c>
      <c r="O93" s="9" t="n">
        <f aca="false">INDEX('Taxonomía temas'!$F$2:$F$54,MATCH(K93,'Taxonomía temas'!$A$2:$A$54,0))</f>
        <v>17</v>
      </c>
      <c r="P93" s="7" t="s">
        <v>253</v>
      </c>
      <c r="Q93" s="7" t="s">
        <v>177</v>
      </c>
      <c r="R93" s="7" t="s">
        <v>68</v>
      </c>
      <c r="S93" s="7" t="s">
        <v>68</v>
      </c>
      <c r="T93" s="7" t="s">
        <v>224</v>
      </c>
      <c r="U93" s="7" t="s">
        <v>68</v>
      </c>
      <c r="V93" s="7"/>
      <c r="W93" s="9" t="str">
        <f aca="false">IF(V93="","No","Sí")</f>
        <v>No</v>
      </c>
      <c r="X93" s="6"/>
      <c r="Y93" s="6"/>
      <c r="Z93" s="6" t="s">
        <v>854</v>
      </c>
      <c r="AA93" s="6" t="s">
        <v>867</v>
      </c>
      <c r="AB93" s="6" t="s">
        <v>71</v>
      </c>
      <c r="AC93" s="6" t="s">
        <v>847</v>
      </c>
      <c r="AD93" s="6" t="s">
        <v>869</v>
      </c>
      <c r="AE93" s="6" t="s">
        <v>74</v>
      </c>
    </row>
    <row r="94" customFormat="false" ht="23.85" hidden="false" customHeight="false" outlineLevel="0" collapsed="false">
      <c r="A94" s="6" t="s">
        <v>870</v>
      </c>
      <c r="B94" s="4" t="s">
        <v>871</v>
      </c>
      <c r="C94" s="6" t="s">
        <v>872</v>
      </c>
      <c r="D94" s="7" t="s">
        <v>60</v>
      </c>
      <c r="E94" s="6" t="s">
        <v>61</v>
      </c>
      <c r="F94" s="6" t="s">
        <v>344</v>
      </c>
      <c r="G94" s="6" t="s">
        <v>60</v>
      </c>
      <c r="H94" s="4" t="s">
        <v>873</v>
      </c>
      <c r="I94" s="8" t="s">
        <v>874</v>
      </c>
      <c r="J94" s="7" t="s">
        <v>843</v>
      </c>
      <c r="K94" s="9" t="str">
        <f aca="false">LEFT(J94,3)</f>
        <v>T39</v>
      </c>
      <c r="L94" s="7"/>
      <c r="M94" s="9" t="str">
        <f aca="false">IF(L94="",K94,K94&amp;"; "&amp;L94)</f>
        <v>T39</v>
      </c>
      <c r="N94" s="9" t="str">
        <f aca="false">INDEX('Taxonomía temas'!$D$2:$D$54,MATCH(K94,'Taxonomía temas'!$A$2:$A$54,0))</f>
        <v>Territorio, vivienda y movilidad</v>
      </c>
      <c r="O94" s="9" t="n">
        <f aca="false">INDEX('Taxonomía temas'!$F$2:$F$54,MATCH(K94,'Taxonomía temas'!$A$2:$A$54,0))</f>
        <v>11</v>
      </c>
      <c r="P94" s="7"/>
      <c r="Q94" s="7" t="s">
        <v>177</v>
      </c>
      <c r="R94" s="7" t="s">
        <v>68</v>
      </c>
      <c r="S94" s="7" t="s">
        <v>68</v>
      </c>
      <c r="T94" s="7" t="s">
        <v>224</v>
      </c>
      <c r="U94" s="7" t="s">
        <v>68</v>
      </c>
      <c r="V94" s="7"/>
      <c r="W94" s="9" t="str">
        <f aca="false">IF(V94="","No","Sí")</f>
        <v>No</v>
      </c>
      <c r="X94" s="6"/>
      <c r="Y94" s="6"/>
      <c r="Z94" s="6" t="s">
        <v>875</v>
      </c>
      <c r="AA94" s="6" t="s">
        <v>874</v>
      </c>
      <c r="AB94" s="6" t="s">
        <v>71</v>
      </c>
      <c r="AC94" s="6" t="s">
        <v>847</v>
      </c>
      <c r="AD94" s="6" t="s">
        <v>876</v>
      </c>
      <c r="AE94" s="6" t="s">
        <v>74</v>
      </c>
    </row>
    <row r="95" customFormat="false" ht="23.85" hidden="false" customHeight="false" outlineLevel="0" collapsed="false">
      <c r="A95" s="6" t="s">
        <v>877</v>
      </c>
      <c r="B95" s="4" t="s">
        <v>878</v>
      </c>
      <c r="C95" s="6" t="s">
        <v>839</v>
      </c>
      <c r="D95" s="7" t="s">
        <v>60</v>
      </c>
      <c r="E95" s="6" t="s">
        <v>61</v>
      </c>
      <c r="F95" s="6" t="s">
        <v>212</v>
      </c>
      <c r="G95" s="6" t="s">
        <v>840</v>
      </c>
      <c r="H95" s="4" t="s">
        <v>879</v>
      </c>
      <c r="I95" s="8" t="s">
        <v>880</v>
      </c>
      <c r="J95" s="7" t="s">
        <v>843</v>
      </c>
      <c r="K95" s="9" t="str">
        <f aca="false">LEFT(J95,3)</f>
        <v>T39</v>
      </c>
      <c r="L95" s="7" t="s">
        <v>881</v>
      </c>
      <c r="M95" s="9" t="str">
        <f aca="false">IF(L95="",K95,K95&amp;"; "&amp;L95)</f>
        <v>T39; T02</v>
      </c>
      <c r="N95" s="9" t="str">
        <f aca="false">INDEX('Taxonomía temas'!$D$2:$D$54,MATCH(K95,'Taxonomía temas'!$A$2:$A$54,0))</f>
        <v>Territorio, vivienda y movilidad</v>
      </c>
      <c r="O95" s="9" t="n">
        <f aca="false">INDEX('Taxonomía temas'!$F$2:$F$54,MATCH(K95,'Taxonomía temas'!$A$2:$A$54,0))</f>
        <v>11</v>
      </c>
      <c r="P95" s="7" t="s">
        <v>253</v>
      </c>
      <c r="Q95" s="7" t="s">
        <v>177</v>
      </c>
      <c r="R95" s="7" t="s">
        <v>68</v>
      </c>
      <c r="S95" s="7" t="s">
        <v>68</v>
      </c>
      <c r="T95" s="7" t="s">
        <v>224</v>
      </c>
      <c r="U95" s="7" t="s">
        <v>68</v>
      </c>
      <c r="V95" s="7"/>
      <c r="W95" s="9" t="str">
        <f aca="false">IF(V95="","No","Sí")</f>
        <v>No</v>
      </c>
      <c r="X95" s="6"/>
      <c r="Y95" s="6" t="s">
        <v>844</v>
      </c>
      <c r="Z95" s="6" t="s">
        <v>882</v>
      </c>
      <c r="AA95" s="6" t="s">
        <v>883</v>
      </c>
      <c r="AB95" s="6" t="s">
        <v>71</v>
      </c>
      <c r="AC95" s="6" t="s">
        <v>847</v>
      </c>
      <c r="AD95" s="6" t="s">
        <v>884</v>
      </c>
      <c r="AE95" s="6" t="s">
        <v>74</v>
      </c>
    </row>
    <row r="96" customFormat="false" ht="23.85" hidden="false" customHeight="false" outlineLevel="0" collapsed="false">
      <c r="A96" s="6" t="s">
        <v>885</v>
      </c>
      <c r="B96" s="4" t="s">
        <v>292</v>
      </c>
      <c r="C96" s="6" t="s">
        <v>285</v>
      </c>
      <c r="D96" s="7" t="s">
        <v>286</v>
      </c>
      <c r="E96" s="6" t="s">
        <v>287</v>
      </c>
      <c r="F96" s="6" t="s">
        <v>702</v>
      </c>
      <c r="G96" s="6" t="s">
        <v>288</v>
      </c>
      <c r="H96" s="4" t="s">
        <v>886</v>
      </c>
      <c r="I96" s="8" t="s">
        <v>887</v>
      </c>
      <c r="J96" s="7" t="s">
        <v>888</v>
      </c>
      <c r="K96" s="9" t="str">
        <f aca="false">LEFT(J96,3)</f>
        <v>T44</v>
      </c>
      <c r="L96" s="7" t="s">
        <v>868</v>
      </c>
      <c r="M96" s="9" t="str">
        <f aca="false">IF(L96="",K96,K96&amp;"; "&amp;L96)</f>
        <v>T44; T39</v>
      </c>
      <c r="N96" s="9" t="str">
        <f aca="false">INDEX('Taxonomía temas'!$D$2:$D$54,MATCH(K96,'Taxonomía temas'!$A$2:$A$54,0))</f>
        <v>Estado, gobierno y derechos</v>
      </c>
      <c r="O96" s="9" t="n">
        <f aca="false">INDEX('Taxonomía temas'!$F$2:$F$54,MATCH(K96,'Taxonomía temas'!$A$2:$A$54,0))</f>
        <v>16</v>
      </c>
      <c r="P96" s="7" t="s">
        <v>253</v>
      </c>
      <c r="Q96" s="7" t="s">
        <v>326</v>
      </c>
      <c r="R96" s="7" t="s">
        <v>68</v>
      </c>
      <c r="S96" s="7" t="s">
        <v>68</v>
      </c>
      <c r="T96" s="7" t="s">
        <v>224</v>
      </c>
      <c r="U96" s="7" t="s">
        <v>68</v>
      </c>
      <c r="V96" s="7"/>
      <c r="W96" s="9" t="str">
        <f aca="false">IF(V96="","No","Sí")</f>
        <v>No</v>
      </c>
      <c r="X96" s="6"/>
      <c r="Y96" s="6"/>
      <c r="Z96" s="6" t="s">
        <v>889</v>
      </c>
      <c r="AA96" s="6" t="s">
        <v>887</v>
      </c>
      <c r="AB96" s="6" t="s">
        <v>71</v>
      </c>
      <c r="AC96" s="6" t="s">
        <v>847</v>
      </c>
      <c r="AD96" s="6" t="s">
        <v>890</v>
      </c>
      <c r="AE96" s="6" t="s">
        <v>74</v>
      </c>
    </row>
    <row r="97" customFormat="false" ht="23.85" hidden="false" customHeight="false" outlineLevel="0" collapsed="false">
      <c r="A97" s="6" t="s">
        <v>891</v>
      </c>
      <c r="B97" s="4" t="s">
        <v>892</v>
      </c>
      <c r="C97" s="6" t="s">
        <v>285</v>
      </c>
      <c r="D97" s="7" t="s">
        <v>286</v>
      </c>
      <c r="E97" s="6" t="s">
        <v>287</v>
      </c>
      <c r="F97" s="6" t="s">
        <v>212</v>
      </c>
      <c r="G97" s="6" t="s">
        <v>288</v>
      </c>
      <c r="H97" s="4" t="s">
        <v>893</v>
      </c>
      <c r="I97" s="8" t="s">
        <v>894</v>
      </c>
      <c r="J97" s="7" t="s">
        <v>895</v>
      </c>
      <c r="K97" s="9" t="str">
        <f aca="false">LEFT(J97,3)</f>
        <v>T40</v>
      </c>
      <c r="L97" s="7"/>
      <c r="M97" s="9" t="str">
        <f aca="false">IF(L97="",K97,K97&amp;"; "&amp;L97)</f>
        <v>T40</v>
      </c>
      <c r="N97" s="9" t="str">
        <f aca="false">INDEX('Taxonomía temas'!$D$2:$D$54,MATCH(K97,'Taxonomía temas'!$A$2:$A$54,0))</f>
        <v>Territorio, vivienda y movilidad</v>
      </c>
      <c r="O97" s="9" t="n">
        <f aca="false">INDEX('Taxonomía temas'!$F$2:$F$54,MATCH(K97,'Taxonomía temas'!$A$2:$A$54,0))</f>
        <v>11</v>
      </c>
      <c r="P97" s="7" t="s">
        <v>253</v>
      </c>
      <c r="Q97" s="7" t="s">
        <v>177</v>
      </c>
      <c r="R97" s="7" t="s">
        <v>68</v>
      </c>
      <c r="S97" s="7" t="s">
        <v>68</v>
      </c>
      <c r="T97" s="7" t="s">
        <v>224</v>
      </c>
      <c r="U97" s="7" t="s">
        <v>68</v>
      </c>
      <c r="V97" s="7"/>
      <c r="W97" s="9" t="str">
        <f aca="false">IF(V97="","No","Sí")</f>
        <v>No</v>
      </c>
      <c r="X97" s="6" t="s">
        <v>896</v>
      </c>
      <c r="Y97" s="6" t="s">
        <v>292</v>
      </c>
      <c r="Z97" s="6" t="s">
        <v>897</v>
      </c>
      <c r="AA97" s="4" t="s">
        <v>898</v>
      </c>
      <c r="AB97" s="6" t="s">
        <v>71</v>
      </c>
      <c r="AC97" s="6" t="s">
        <v>847</v>
      </c>
      <c r="AD97" s="6" t="s">
        <v>899</v>
      </c>
      <c r="AE97" s="6" t="s">
        <v>74</v>
      </c>
    </row>
    <row r="98" customFormat="false" ht="23.85" hidden="false" customHeight="false" outlineLevel="0" collapsed="false">
      <c r="A98" s="6" t="s">
        <v>900</v>
      </c>
      <c r="B98" s="4" t="s">
        <v>901</v>
      </c>
      <c r="C98" s="6" t="s">
        <v>285</v>
      </c>
      <c r="D98" s="7" t="s">
        <v>286</v>
      </c>
      <c r="E98" s="6" t="s">
        <v>287</v>
      </c>
      <c r="F98" s="6" t="s">
        <v>212</v>
      </c>
      <c r="G98" s="6" t="s">
        <v>288</v>
      </c>
      <c r="H98" s="4" t="s">
        <v>902</v>
      </c>
      <c r="I98" s="8" t="s">
        <v>903</v>
      </c>
      <c r="J98" s="7" t="s">
        <v>904</v>
      </c>
      <c r="K98" s="9" t="str">
        <f aca="false">LEFT(J98,3)</f>
        <v>T42</v>
      </c>
      <c r="L98" s="7"/>
      <c r="M98" s="9" t="str">
        <f aca="false">IF(L98="",K98,K98&amp;"; "&amp;L98)</f>
        <v>T42</v>
      </c>
      <c r="N98" s="9" t="str">
        <f aca="false">INDEX('Taxonomía temas'!$D$2:$D$54,MATCH(K98,'Taxonomía temas'!$A$2:$A$54,0))</f>
        <v>Territorio, vivienda y movilidad</v>
      </c>
      <c r="O98" s="9" t="n">
        <f aca="false">INDEX('Taxonomía temas'!$F$2:$F$54,MATCH(K98,'Taxonomía temas'!$A$2:$A$54,0))</f>
        <v>11</v>
      </c>
      <c r="P98" s="7" t="s">
        <v>253</v>
      </c>
      <c r="Q98" s="7" t="s">
        <v>177</v>
      </c>
      <c r="R98" s="7" t="s">
        <v>68</v>
      </c>
      <c r="S98" s="7" t="s">
        <v>68</v>
      </c>
      <c r="T98" s="7" t="s">
        <v>224</v>
      </c>
      <c r="U98" s="7" t="s">
        <v>68</v>
      </c>
      <c r="V98" s="7"/>
      <c r="W98" s="9" t="str">
        <f aca="false">IF(V98="","No","Sí")</f>
        <v>No</v>
      </c>
      <c r="X98" s="6"/>
      <c r="Y98" s="6" t="s">
        <v>292</v>
      </c>
      <c r="Z98" s="6" t="s">
        <v>479</v>
      </c>
      <c r="AA98" s="6" t="s">
        <v>903</v>
      </c>
      <c r="AB98" s="6" t="s">
        <v>71</v>
      </c>
      <c r="AC98" s="6" t="s">
        <v>847</v>
      </c>
      <c r="AD98" s="6" t="s">
        <v>905</v>
      </c>
      <c r="AE98" s="6" t="s">
        <v>74</v>
      </c>
    </row>
    <row r="99" customFormat="false" ht="23.85" hidden="false" customHeight="false" outlineLevel="0" collapsed="false">
      <c r="A99" s="6" t="s">
        <v>906</v>
      </c>
      <c r="B99" s="4" t="s">
        <v>907</v>
      </c>
      <c r="C99" s="6" t="s">
        <v>285</v>
      </c>
      <c r="D99" s="7" t="s">
        <v>286</v>
      </c>
      <c r="E99" s="6" t="s">
        <v>287</v>
      </c>
      <c r="F99" s="6" t="s">
        <v>212</v>
      </c>
      <c r="G99" s="6" t="s">
        <v>288</v>
      </c>
      <c r="H99" s="4" t="s">
        <v>908</v>
      </c>
      <c r="I99" s="8" t="s">
        <v>909</v>
      </c>
      <c r="J99" s="7" t="s">
        <v>910</v>
      </c>
      <c r="K99" s="9" t="str">
        <f aca="false">LEFT(J99,3)</f>
        <v>T49</v>
      </c>
      <c r="L99" s="7" t="s">
        <v>868</v>
      </c>
      <c r="M99" s="9" t="str">
        <f aca="false">IF(L99="",K99,K99&amp;"; "&amp;L99)</f>
        <v>T49; T39</v>
      </c>
      <c r="N99" s="9" t="str">
        <f aca="false">INDEX('Taxonomía temas'!$D$2:$D$54,MATCH(K99,'Taxonomía temas'!$A$2:$A$54,0))</f>
        <v>Estado, gobierno y derechos</v>
      </c>
      <c r="O99" s="9" t="n">
        <f aca="false">INDEX('Taxonomía temas'!$F$2:$F$54,MATCH(K99,'Taxonomía temas'!$A$2:$A$54,0))</f>
        <v>17</v>
      </c>
      <c r="P99" s="7" t="s">
        <v>253</v>
      </c>
      <c r="Q99" s="7" t="s">
        <v>177</v>
      </c>
      <c r="R99" s="7" t="s">
        <v>68</v>
      </c>
      <c r="S99" s="7" t="s">
        <v>68</v>
      </c>
      <c r="T99" s="7" t="s">
        <v>224</v>
      </c>
      <c r="U99" s="7" t="s">
        <v>68</v>
      </c>
      <c r="V99" s="7"/>
      <c r="W99" s="9" t="str">
        <f aca="false">IF(V99="","No","Sí")</f>
        <v>No</v>
      </c>
      <c r="X99" s="6"/>
      <c r="Y99" s="6" t="s">
        <v>292</v>
      </c>
      <c r="Z99" s="6" t="s">
        <v>911</v>
      </c>
      <c r="AA99" s="6" t="s">
        <v>909</v>
      </c>
      <c r="AB99" s="6" t="s">
        <v>71</v>
      </c>
      <c r="AC99" s="6" t="s">
        <v>847</v>
      </c>
      <c r="AD99" s="6" t="s">
        <v>912</v>
      </c>
      <c r="AE99" s="6" t="s">
        <v>74</v>
      </c>
    </row>
    <row r="100" customFormat="false" ht="23.85" hidden="false" customHeight="false" outlineLevel="0" collapsed="false">
      <c r="A100" s="6" t="s">
        <v>913</v>
      </c>
      <c r="B100" s="4" t="s">
        <v>914</v>
      </c>
      <c r="C100" s="6" t="s">
        <v>285</v>
      </c>
      <c r="D100" s="7" t="s">
        <v>286</v>
      </c>
      <c r="E100" s="6" t="s">
        <v>287</v>
      </c>
      <c r="F100" s="6" t="s">
        <v>212</v>
      </c>
      <c r="G100" s="6" t="s">
        <v>288</v>
      </c>
      <c r="H100" s="4" t="s">
        <v>915</v>
      </c>
      <c r="I100" s="8" t="s">
        <v>916</v>
      </c>
      <c r="J100" s="7" t="s">
        <v>843</v>
      </c>
      <c r="K100" s="9" t="str">
        <f aca="false">LEFT(J100,3)</f>
        <v>T39</v>
      </c>
      <c r="L100" s="7" t="s">
        <v>917</v>
      </c>
      <c r="M100" s="9" t="str">
        <f aca="false">IF(L100="",K100,K100&amp;"; "&amp;L100)</f>
        <v>T39; T40</v>
      </c>
      <c r="N100" s="9" t="str">
        <f aca="false">INDEX('Taxonomía temas'!$D$2:$D$54,MATCH(K100,'Taxonomía temas'!$A$2:$A$54,0))</f>
        <v>Territorio, vivienda y movilidad</v>
      </c>
      <c r="O100" s="9" t="n">
        <f aca="false">INDEX('Taxonomía temas'!$F$2:$F$54,MATCH(K100,'Taxonomía temas'!$A$2:$A$54,0))</f>
        <v>11</v>
      </c>
      <c r="P100" s="7" t="s">
        <v>253</v>
      </c>
      <c r="Q100" s="7" t="s">
        <v>177</v>
      </c>
      <c r="R100" s="7" t="s">
        <v>68</v>
      </c>
      <c r="S100" s="7" t="s">
        <v>68</v>
      </c>
      <c r="T100" s="7" t="s">
        <v>224</v>
      </c>
      <c r="U100" s="7" t="s">
        <v>68</v>
      </c>
      <c r="V100" s="7" t="s">
        <v>918</v>
      </c>
      <c r="W100" s="9" t="str">
        <f aca="false">IF(V100="","No","Sí")</f>
        <v>Sí</v>
      </c>
      <c r="X100" s="6"/>
      <c r="Y100" s="6" t="s">
        <v>292</v>
      </c>
      <c r="Z100" s="6" t="s">
        <v>919</v>
      </c>
      <c r="AA100" s="4" t="s">
        <v>920</v>
      </c>
      <c r="AB100" s="6" t="s">
        <v>71</v>
      </c>
      <c r="AC100" s="6" t="s">
        <v>847</v>
      </c>
      <c r="AD100" s="6" t="s">
        <v>921</v>
      </c>
      <c r="AE100" s="6" t="s">
        <v>74</v>
      </c>
    </row>
    <row r="101" customFormat="false" ht="23.85" hidden="false" customHeight="false" outlineLevel="0" collapsed="false">
      <c r="A101" s="6" t="s">
        <v>922</v>
      </c>
      <c r="B101" s="4" t="s">
        <v>923</v>
      </c>
      <c r="C101" s="6" t="s">
        <v>872</v>
      </c>
      <c r="D101" s="7" t="s">
        <v>60</v>
      </c>
      <c r="E101" s="6" t="s">
        <v>61</v>
      </c>
      <c r="F101" s="6" t="s">
        <v>242</v>
      </c>
      <c r="G101" s="6" t="s">
        <v>840</v>
      </c>
      <c r="H101" s="4" t="s">
        <v>924</v>
      </c>
      <c r="I101" s="8" t="s">
        <v>925</v>
      </c>
      <c r="J101" s="7" t="s">
        <v>843</v>
      </c>
      <c r="K101" s="9" t="str">
        <f aca="false">LEFT(J101,3)</f>
        <v>T39</v>
      </c>
      <c r="L101" s="7" t="s">
        <v>926</v>
      </c>
      <c r="M101" s="9" t="str">
        <f aca="false">IF(L101="",K101,K101&amp;"; "&amp;L101)</f>
        <v>T39; T40; T25</v>
      </c>
      <c r="N101" s="9" t="str">
        <f aca="false">INDEX('Taxonomía temas'!$D$2:$D$54,MATCH(K101,'Taxonomía temas'!$A$2:$A$54,0))</f>
        <v>Territorio, vivienda y movilidad</v>
      </c>
      <c r="O101" s="9" t="n">
        <f aca="false">INDEX('Taxonomía temas'!$F$2:$F$54,MATCH(K101,'Taxonomía temas'!$A$2:$A$54,0))</f>
        <v>11</v>
      </c>
      <c r="P101" s="7"/>
      <c r="Q101" s="7" t="s">
        <v>67</v>
      </c>
      <c r="R101" s="7" t="s">
        <v>68</v>
      </c>
      <c r="S101" s="7" t="s">
        <v>68</v>
      </c>
      <c r="T101" s="7" t="s">
        <v>224</v>
      </c>
      <c r="U101" s="7" t="s">
        <v>68</v>
      </c>
      <c r="V101" s="7"/>
      <c r="W101" s="9" t="str">
        <f aca="false">IF(V101="","No","Sí")</f>
        <v>No</v>
      </c>
      <c r="X101" s="6"/>
      <c r="Y101" s="6"/>
      <c r="Z101" s="6" t="s">
        <v>927</v>
      </c>
      <c r="AA101" s="4" t="s">
        <v>928</v>
      </c>
      <c r="AB101" s="6" t="s">
        <v>71</v>
      </c>
      <c r="AC101" s="6" t="s">
        <v>847</v>
      </c>
      <c r="AD101" s="6" t="s">
        <v>929</v>
      </c>
      <c r="AE101" s="6" t="s">
        <v>74</v>
      </c>
    </row>
    <row r="102" customFormat="false" ht="23.85" hidden="false" customHeight="false" outlineLevel="0" collapsed="false">
      <c r="A102" s="6" t="s">
        <v>930</v>
      </c>
      <c r="B102" s="4" t="s">
        <v>844</v>
      </c>
      <c r="C102" s="6" t="s">
        <v>839</v>
      </c>
      <c r="D102" s="7" t="s">
        <v>60</v>
      </c>
      <c r="E102" s="6" t="s">
        <v>61</v>
      </c>
      <c r="F102" s="6" t="s">
        <v>242</v>
      </c>
      <c r="G102" s="6" t="s">
        <v>931</v>
      </c>
      <c r="H102" s="4" t="s">
        <v>932</v>
      </c>
      <c r="I102" s="8" t="s">
        <v>846</v>
      </c>
      <c r="J102" s="7" t="s">
        <v>843</v>
      </c>
      <c r="K102" s="9" t="str">
        <f aca="false">LEFT(J102,3)</f>
        <v>T39</v>
      </c>
      <c r="L102" s="7" t="s">
        <v>881</v>
      </c>
      <c r="M102" s="9" t="str">
        <f aca="false">IF(L102="",K102,K102&amp;"; "&amp;L102)</f>
        <v>T39; T02</v>
      </c>
      <c r="N102" s="9" t="str">
        <f aca="false">INDEX('Taxonomía temas'!$D$2:$D$54,MATCH(K102,'Taxonomía temas'!$A$2:$A$54,0))</f>
        <v>Territorio, vivienda y movilidad</v>
      </c>
      <c r="O102" s="9" t="n">
        <f aca="false">INDEX('Taxonomía temas'!$F$2:$F$54,MATCH(K102,'Taxonomía temas'!$A$2:$A$54,0))</f>
        <v>11</v>
      </c>
      <c r="P102" s="7" t="s">
        <v>253</v>
      </c>
      <c r="Q102" s="7" t="s">
        <v>67</v>
      </c>
      <c r="R102" s="7" t="s">
        <v>68</v>
      </c>
      <c r="S102" s="7" t="s">
        <v>68</v>
      </c>
      <c r="T102" s="7" t="s">
        <v>224</v>
      </c>
      <c r="U102" s="7" t="s">
        <v>68</v>
      </c>
      <c r="V102" s="7"/>
      <c r="W102" s="9" t="str">
        <f aca="false">IF(V102="","No","Sí")</f>
        <v>No</v>
      </c>
      <c r="X102" s="6"/>
      <c r="Y102" s="6"/>
      <c r="Z102" s="6" t="s">
        <v>933</v>
      </c>
      <c r="AA102" s="6" t="s">
        <v>846</v>
      </c>
      <c r="AB102" s="6" t="s">
        <v>71</v>
      </c>
      <c r="AC102" s="6" t="s">
        <v>847</v>
      </c>
      <c r="AD102" s="6" t="s">
        <v>934</v>
      </c>
      <c r="AE102" s="6" t="s">
        <v>74</v>
      </c>
    </row>
    <row r="103" customFormat="false" ht="23.85" hidden="false" customHeight="false" outlineLevel="0" collapsed="false">
      <c r="A103" s="6" t="s">
        <v>935</v>
      </c>
      <c r="B103" s="4" t="s">
        <v>936</v>
      </c>
      <c r="C103" s="6" t="s">
        <v>937</v>
      </c>
      <c r="D103" s="7" t="s">
        <v>286</v>
      </c>
      <c r="E103" s="6" t="s">
        <v>287</v>
      </c>
      <c r="F103" s="6" t="s">
        <v>344</v>
      </c>
      <c r="G103" s="6" t="s">
        <v>938</v>
      </c>
      <c r="H103" s="4" t="s">
        <v>939</v>
      </c>
      <c r="I103" s="8" t="s">
        <v>940</v>
      </c>
      <c r="J103" s="7" t="s">
        <v>861</v>
      </c>
      <c r="K103" s="9" t="str">
        <f aca="false">LEFT(J103,3)</f>
        <v>T41</v>
      </c>
      <c r="L103" s="7" t="s">
        <v>868</v>
      </c>
      <c r="M103" s="9" t="str">
        <f aca="false">IF(L103="",K103,K103&amp;"; "&amp;L103)</f>
        <v>T41; T39</v>
      </c>
      <c r="N103" s="9" t="str">
        <f aca="false">INDEX('Taxonomía temas'!$D$2:$D$54,MATCH(K103,'Taxonomía temas'!$A$2:$A$54,0))</f>
        <v>Territorio, vivienda y movilidad</v>
      </c>
      <c r="O103" s="9" t="n">
        <f aca="false">INDEX('Taxonomía temas'!$F$2:$F$54,MATCH(K103,'Taxonomía temas'!$A$2:$A$54,0))</f>
        <v>17</v>
      </c>
      <c r="P103" s="7" t="s">
        <v>253</v>
      </c>
      <c r="Q103" s="7" t="s">
        <v>177</v>
      </c>
      <c r="R103" s="7" t="s">
        <v>68</v>
      </c>
      <c r="S103" s="7" t="s">
        <v>68</v>
      </c>
      <c r="T103" s="7" t="s">
        <v>224</v>
      </c>
      <c r="U103" s="7" t="s">
        <v>68</v>
      </c>
      <c r="V103" s="7"/>
      <c r="W103" s="9" t="str">
        <f aca="false">IF(V103="","No","Sí")</f>
        <v>No</v>
      </c>
      <c r="X103" s="6"/>
      <c r="Y103" s="6"/>
      <c r="Z103" s="6" t="s">
        <v>941</v>
      </c>
      <c r="AA103" s="6" t="s">
        <v>940</v>
      </c>
      <c r="AB103" s="6" t="s">
        <v>71</v>
      </c>
      <c r="AC103" s="6" t="s">
        <v>847</v>
      </c>
      <c r="AD103" s="6" t="s">
        <v>942</v>
      </c>
      <c r="AE103" s="6" t="s">
        <v>74</v>
      </c>
    </row>
    <row r="104" customFormat="false" ht="23.85" hidden="false" customHeight="false" outlineLevel="0" collapsed="false">
      <c r="A104" s="6" t="s">
        <v>943</v>
      </c>
      <c r="B104" s="4" t="s">
        <v>944</v>
      </c>
      <c r="C104" s="6" t="s">
        <v>285</v>
      </c>
      <c r="D104" s="7" t="s">
        <v>286</v>
      </c>
      <c r="E104" s="6" t="s">
        <v>287</v>
      </c>
      <c r="F104" s="6" t="s">
        <v>344</v>
      </c>
      <c r="G104" s="6" t="s">
        <v>288</v>
      </c>
      <c r="H104" s="4" t="s">
        <v>945</v>
      </c>
      <c r="I104" s="8" t="s">
        <v>946</v>
      </c>
      <c r="J104" s="7" t="s">
        <v>861</v>
      </c>
      <c r="K104" s="9" t="str">
        <f aca="false">LEFT(J104,3)</f>
        <v>T41</v>
      </c>
      <c r="L104" s="7" t="s">
        <v>868</v>
      </c>
      <c r="M104" s="9" t="str">
        <f aca="false">IF(L104="",K104,K104&amp;"; "&amp;L104)</f>
        <v>T41; T39</v>
      </c>
      <c r="N104" s="9" t="str">
        <f aca="false">INDEX('Taxonomía temas'!$D$2:$D$54,MATCH(K104,'Taxonomía temas'!$A$2:$A$54,0))</f>
        <v>Territorio, vivienda y movilidad</v>
      </c>
      <c r="O104" s="9" t="n">
        <f aca="false">INDEX('Taxonomía temas'!$F$2:$F$54,MATCH(K104,'Taxonomía temas'!$A$2:$A$54,0))</f>
        <v>17</v>
      </c>
      <c r="P104" s="7" t="s">
        <v>253</v>
      </c>
      <c r="Q104" s="7" t="s">
        <v>177</v>
      </c>
      <c r="R104" s="7" t="s">
        <v>68</v>
      </c>
      <c r="S104" s="7" t="s">
        <v>68</v>
      </c>
      <c r="T104" s="7" t="s">
        <v>224</v>
      </c>
      <c r="U104" s="7" t="s">
        <v>68</v>
      </c>
      <c r="V104" s="7"/>
      <c r="W104" s="9" t="str">
        <f aca="false">IF(V104="","No","Sí")</f>
        <v>No</v>
      </c>
      <c r="X104" s="6"/>
      <c r="Y104" s="6"/>
      <c r="Z104" s="6" t="s">
        <v>947</v>
      </c>
      <c r="AA104" s="6" t="s">
        <v>349</v>
      </c>
      <c r="AB104" s="6" t="s">
        <v>71</v>
      </c>
      <c r="AC104" s="6" t="s">
        <v>847</v>
      </c>
      <c r="AD104" s="6" t="s">
        <v>948</v>
      </c>
      <c r="AE104" s="6" t="s">
        <v>74</v>
      </c>
    </row>
    <row r="105" customFormat="false" ht="23.85" hidden="false" customHeight="false" outlineLevel="0" collapsed="false">
      <c r="A105" s="6" t="s">
        <v>949</v>
      </c>
      <c r="B105" s="4" t="s">
        <v>950</v>
      </c>
      <c r="C105" s="6" t="s">
        <v>872</v>
      </c>
      <c r="D105" s="7" t="s">
        <v>60</v>
      </c>
      <c r="E105" s="6" t="s">
        <v>61</v>
      </c>
      <c r="F105" s="6" t="s">
        <v>344</v>
      </c>
      <c r="G105" s="6" t="s">
        <v>60</v>
      </c>
      <c r="H105" s="4" t="s">
        <v>951</v>
      </c>
      <c r="I105" s="8" t="s">
        <v>952</v>
      </c>
      <c r="J105" s="7" t="s">
        <v>843</v>
      </c>
      <c r="K105" s="9" t="str">
        <f aca="false">LEFT(J105,3)</f>
        <v>T39</v>
      </c>
      <c r="L105" s="7" t="s">
        <v>695</v>
      </c>
      <c r="M105" s="9" t="str">
        <f aca="false">IF(L105="",K105,K105&amp;"; "&amp;L105)</f>
        <v>T39; T41</v>
      </c>
      <c r="N105" s="9" t="str">
        <f aca="false">INDEX('Taxonomía temas'!$D$2:$D$54,MATCH(K105,'Taxonomía temas'!$A$2:$A$54,0))</f>
        <v>Territorio, vivienda y movilidad</v>
      </c>
      <c r="O105" s="9" t="n">
        <f aca="false">INDEX('Taxonomía temas'!$F$2:$F$54,MATCH(K105,'Taxonomía temas'!$A$2:$A$54,0))</f>
        <v>11</v>
      </c>
      <c r="P105" s="7"/>
      <c r="Q105" s="7" t="s">
        <v>177</v>
      </c>
      <c r="R105" s="7" t="s">
        <v>68</v>
      </c>
      <c r="S105" s="7" t="s">
        <v>68</v>
      </c>
      <c r="T105" s="7" t="s">
        <v>224</v>
      </c>
      <c r="U105" s="7" t="s">
        <v>68</v>
      </c>
      <c r="V105" s="7"/>
      <c r="W105" s="9" t="str">
        <f aca="false">IF(V105="","No","Sí")</f>
        <v>No</v>
      </c>
      <c r="X105" s="6"/>
      <c r="Y105" s="6"/>
      <c r="Z105" s="6" t="s">
        <v>953</v>
      </c>
      <c r="AA105" s="6" t="s">
        <v>952</v>
      </c>
      <c r="AB105" s="6" t="s">
        <v>71</v>
      </c>
      <c r="AC105" s="6" t="s">
        <v>847</v>
      </c>
      <c r="AD105" s="6" t="s">
        <v>954</v>
      </c>
      <c r="AE105" s="6" t="s">
        <v>74</v>
      </c>
    </row>
    <row r="106" customFormat="false" ht="15" hidden="false" customHeight="false" outlineLevel="0" collapsed="false">
      <c r="A106" s="6" t="s">
        <v>955</v>
      </c>
      <c r="B106" s="4" t="s">
        <v>956</v>
      </c>
      <c r="C106" s="6" t="s">
        <v>957</v>
      </c>
      <c r="D106" s="7" t="s">
        <v>286</v>
      </c>
      <c r="E106" s="6" t="s">
        <v>287</v>
      </c>
      <c r="F106" s="6" t="s">
        <v>344</v>
      </c>
      <c r="G106" s="6" t="s">
        <v>958</v>
      </c>
      <c r="H106" s="4" t="s">
        <v>959</v>
      </c>
      <c r="I106" s="8" t="s">
        <v>960</v>
      </c>
      <c r="J106" s="7" t="s">
        <v>861</v>
      </c>
      <c r="K106" s="9" t="str">
        <f aca="false">LEFT(J106,3)</f>
        <v>T41</v>
      </c>
      <c r="L106" s="7" t="s">
        <v>868</v>
      </c>
      <c r="M106" s="9" t="str">
        <f aca="false">IF(L106="",K106,K106&amp;"; "&amp;L106)</f>
        <v>T41; T39</v>
      </c>
      <c r="N106" s="9" t="str">
        <f aca="false">INDEX('Taxonomía temas'!$D$2:$D$54,MATCH(K106,'Taxonomía temas'!$A$2:$A$54,0))</f>
        <v>Territorio, vivienda y movilidad</v>
      </c>
      <c r="O106" s="9" t="n">
        <f aca="false">INDEX('Taxonomía temas'!$F$2:$F$54,MATCH(K106,'Taxonomía temas'!$A$2:$A$54,0))</f>
        <v>17</v>
      </c>
      <c r="P106" s="7" t="s">
        <v>253</v>
      </c>
      <c r="Q106" s="7" t="s">
        <v>177</v>
      </c>
      <c r="R106" s="7" t="s">
        <v>68</v>
      </c>
      <c r="S106" s="7" t="s">
        <v>68</v>
      </c>
      <c r="T106" s="7" t="s">
        <v>224</v>
      </c>
      <c r="U106" s="7" t="s">
        <v>68</v>
      </c>
      <c r="V106" s="7"/>
      <c r="W106" s="9" t="str">
        <f aca="false">IF(V106="","No","Sí")</f>
        <v>No</v>
      </c>
      <c r="X106" s="6"/>
      <c r="Y106" s="6"/>
      <c r="Z106" s="6" t="s">
        <v>961</v>
      </c>
      <c r="AA106" s="6" t="s">
        <v>960</v>
      </c>
      <c r="AB106" s="6" t="s">
        <v>71</v>
      </c>
      <c r="AC106" s="6" t="s">
        <v>847</v>
      </c>
      <c r="AD106" s="6" t="s">
        <v>962</v>
      </c>
      <c r="AE106" s="6" t="s">
        <v>74</v>
      </c>
    </row>
    <row r="107" customFormat="false" ht="15" hidden="false" customHeight="false" outlineLevel="0" collapsed="false">
      <c r="A107" s="6" t="s">
        <v>963</v>
      </c>
      <c r="B107" s="4" t="s">
        <v>964</v>
      </c>
      <c r="C107" s="6" t="s">
        <v>965</v>
      </c>
      <c r="D107" s="7" t="s">
        <v>60</v>
      </c>
      <c r="E107" s="6" t="s">
        <v>61</v>
      </c>
      <c r="F107" s="6" t="s">
        <v>344</v>
      </c>
      <c r="G107" s="6" t="s">
        <v>60</v>
      </c>
      <c r="H107" s="4" t="s">
        <v>966</v>
      </c>
      <c r="I107" s="8" t="s">
        <v>967</v>
      </c>
      <c r="J107" s="7" t="s">
        <v>861</v>
      </c>
      <c r="K107" s="9" t="str">
        <f aca="false">LEFT(J107,3)</f>
        <v>T41</v>
      </c>
      <c r="L107" s="7" t="s">
        <v>262</v>
      </c>
      <c r="M107" s="9" t="str">
        <f aca="false">IF(L107="",K107,K107&amp;"; "&amp;L107)</f>
        <v>T41; T09</v>
      </c>
      <c r="N107" s="9" t="str">
        <f aca="false">INDEX('Taxonomía temas'!$D$2:$D$54,MATCH(K107,'Taxonomía temas'!$A$2:$A$54,0))</f>
        <v>Territorio, vivienda y movilidad</v>
      </c>
      <c r="O107" s="9" t="n">
        <f aca="false">INDEX('Taxonomía temas'!$F$2:$F$54,MATCH(K107,'Taxonomía temas'!$A$2:$A$54,0))</f>
        <v>17</v>
      </c>
      <c r="P107" s="7"/>
      <c r="Q107" s="7" t="s">
        <v>177</v>
      </c>
      <c r="R107" s="7" t="s">
        <v>68</v>
      </c>
      <c r="S107" s="7" t="s">
        <v>68</v>
      </c>
      <c r="T107" s="7" t="s">
        <v>224</v>
      </c>
      <c r="U107" s="7" t="s">
        <v>68</v>
      </c>
      <c r="V107" s="7"/>
      <c r="W107" s="9" t="str">
        <f aca="false">IF(V107="","No","Sí")</f>
        <v>No</v>
      </c>
      <c r="X107" s="6"/>
      <c r="Y107" s="6"/>
      <c r="Z107" s="6" t="s">
        <v>968</v>
      </c>
      <c r="AA107" s="6" t="s">
        <v>349</v>
      </c>
      <c r="AB107" s="6" t="s">
        <v>71</v>
      </c>
      <c r="AC107" s="6" t="s">
        <v>847</v>
      </c>
      <c r="AD107" s="6" t="s">
        <v>969</v>
      </c>
      <c r="AE107" s="6" t="s">
        <v>74</v>
      </c>
    </row>
    <row r="108" customFormat="false" ht="23.85" hidden="false" customHeight="false" outlineLevel="0" collapsed="false">
      <c r="A108" s="6" t="s">
        <v>970</v>
      </c>
      <c r="B108" s="4" t="s">
        <v>971</v>
      </c>
      <c r="C108" s="6" t="s">
        <v>972</v>
      </c>
      <c r="D108" s="7" t="s">
        <v>60</v>
      </c>
      <c r="E108" s="6" t="s">
        <v>61</v>
      </c>
      <c r="F108" s="6" t="s">
        <v>344</v>
      </c>
      <c r="G108" s="6" t="s">
        <v>60</v>
      </c>
      <c r="H108" s="4" t="s">
        <v>973</v>
      </c>
      <c r="I108" s="8" t="s">
        <v>974</v>
      </c>
      <c r="J108" s="7" t="s">
        <v>975</v>
      </c>
      <c r="K108" s="9" t="str">
        <f aca="false">LEFT(J108,3)</f>
        <v>T31</v>
      </c>
      <c r="L108" s="7" t="s">
        <v>695</v>
      </c>
      <c r="M108" s="9" t="str">
        <f aca="false">IF(L108="",K108,K108&amp;"; "&amp;L108)</f>
        <v>T31; T41</v>
      </c>
      <c r="N108" s="9" t="str">
        <f aca="false">INDEX('Taxonomía temas'!$D$2:$D$54,MATCH(K108,'Taxonomía temas'!$A$2:$A$54,0))</f>
        <v>Educación, cultura y deporte</v>
      </c>
      <c r="O108" s="9" t="n">
        <f aca="false">INDEX('Taxonomía temas'!$F$2:$F$54,MATCH(K108,'Taxonomía temas'!$A$2:$A$54,0))</f>
        <v>3</v>
      </c>
      <c r="P108" s="7"/>
      <c r="Q108" s="7" t="s">
        <v>177</v>
      </c>
      <c r="R108" s="7" t="s">
        <v>224</v>
      </c>
      <c r="S108" s="7" t="s">
        <v>68</v>
      </c>
      <c r="T108" s="7" t="s">
        <v>224</v>
      </c>
      <c r="U108" s="7" t="s">
        <v>68</v>
      </c>
      <c r="V108" s="7"/>
      <c r="W108" s="9" t="str">
        <f aca="false">IF(V108="","No","Sí")</f>
        <v>No</v>
      </c>
      <c r="X108" s="6"/>
      <c r="Y108" s="6"/>
      <c r="Z108" s="6" t="s">
        <v>976</v>
      </c>
      <c r="AA108" s="6" t="s">
        <v>974</v>
      </c>
      <c r="AB108" s="6" t="s">
        <v>71</v>
      </c>
      <c r="AC108" s="6" t="s">
        <v>847</v>
      </c>
      <c r="AD108" s="6" t="s">
        <v>977</v>
      </c>
      <c r="AE108" s="6" t="s">
        <v>74</v>
      </c>
    </row>
    <row r="109" customFormat="false" ht="23.85" hidden="false" customHeight="false" outlineLevel="0" collapsed="false">
      <c r="A109" s="6" t="s">
        <v>978</v>
      </c>
      <c r="B109" s="4" t="s">
        <v>979</v>
      </c>
      <c r="C109" s="6" t="s">
        <v>980</v>
      </c>
      <c r="D109" s="7" t="s">
        <v>60</v>
      </c>
      <c r="E109" s="6" t="s">
        <v>61</v>
      </c>
      <c r="F109" s="6" t="s">
        <v>344</v>
      </c>
      <c r="G109" s="6" t="s">
        <v>60</v>
      </c>
      <c r="H109" s="4" t="s">
        <v>981</v>
      </c>
      <c r="I109" s="8" t="s">
        <v>982</v>
      </c>
      <c r="J109" s="7" t="s">
        <v>356</v>
      </c>
      <c r="K109" s="9" t="str">
        <f aca="false">LEFT(J109,3)</f>
        <v>T37</v>
      </c>
      <c r="L109" s="7" t="s">
        <v>695</v>
      </c>
      <c r="M109" s="9" t="str">
        <f aca="false">IF(L109="",K109,K109&amp;"; "&amp;L109)</f>
        <v>T37; T41</v>
      </c>
      <c r="N109" s="9" t="str">
        <f aca="false">INDEX('Taxonomía temas'!$D$2:$D$54,MATCH(K109,'Taxonomía temas'!$A$2:$A$54,0))</f>
        <v>Ambiente, energía y clima</v>
      </c>
      <c r="O109" s="9" t="n">
        <f aca="false">INDEX('Taxonomía temas'!$F$2:$F$54,MATCH(K109,'Taxonomía temas'!$A$2:$A$54,0))</f>
        <v>15</v>
      </c>
      <c r="P109" s="7"/>
      <c r="Q109" s="7" t="s">
        <v>177</v>
      </c>
      <c r="R109" s="7" t="s">
        <v>68</v>
      </c>
      <c r="S109" s="7" t="s">
        <v>68</v>
      </c>
      <c r="T109" s="7" t="s">
        <v>224</v>
      </c>
      <c r="U109" s="7" t="s">
        <v>68</v>
      </c>
      <c r="V109" s="7"/>
      <c r="W109" s="9" t="str">
        <f aca="false">IF(V109="","No","Sí")</f>
        <v>No</v>
      </c>
      <c r="X109" s="6"/>
      <c r="Y109" s="6"/>
      <c r="Z109" s="6" t="s">
        <v>983</v>
      </c>
      <c r="AA109" s="6" t="s">
        <v>982</v>
      </c>
      <c r="AB109" s="6" t="s">
        <v>71</v>
      </c>
      <c r="AC109" s="6" t="s">
        <v>847</v>
      </c>
      <c r="AD109" s="6" t="s">
        <v>984</v>
      </c>
      <c r="AE109" s="6" t="s">
        <v>74</v>
      </c>
    </row>
    <row r="110" customFormat="false" ht="23.85" hidden="false" customHeight="false" outlineLevel="0" collapsed="false">
      <c r="A110" s="6" t="s">
        <v>985</v>
      </c>
      <c r="B110" s="4" t="s">
        <v>986</v>
      </c>
      <c r="C110" s="6" t="s">
        <v>987</v>
      </c>
      <c r="D110" s="7" t="s">
        <v>60</v>
      </c>
      <c r="E110" s="6" t="s">
        <v>61</v>
      </c>
      <c r="F110" s="6" t="s">
        <v>344</v>
      </c>
      <c r="G110" s="6" t="s">
        <v>60</v>
      </c>
      <c r="H110" s="4" t="s">
        <v>988</v>
      </c>
      <c r="I110" s="8" t="s">
        <v>989</v>
      </c>
      <c r="J110" s="7" t="s">
        <v>861</v>
      </c>
      <c r="K110" s="9" t="str">
        <f aca="false">LEFT(J110,3)</f>
        <v>T41</v>
      </c>
      <c r="L110" s="7"/>
      <c r="M110" s="9" t="str">
        <f aca="false">IF(L110="",K110,K110&amp;"; "&amp;L110)</f>
        <v>T41</v>
      </c>
      <c r="N110" s="9" t="str">
        <f aca="false">INDEX('Taxonomía temas'!$D$2:$D$54,MATCH(K110,'Taxonomía temas'!$A$2:$A$54,0))</f>
        <v>Territorio, vivienda y movilidad</v>
      </c>
      <c r="O110" s="9" t="n">
        <f aca="false">INDEX('Taxonomía temas'!$F$2:$F$54,MATCH(K110,'Taxonomía temas'!$A$2:$A$54,0))</f>
        <v>17</v>
      </c>
      <c r="P110" s="7"/>
      <c r="Q110" s="7" t="s">
        <v>177</v>
      </c>
      <c r="R110" s="7" t="s">
        <v>68</v>
      </c>
      <c r="S110" s="7" t="s">
        <v>68</v>
      </c>
      <c r="T110" s="7" t="s">
        <v>224</v>
      </c>
      <c r="U110" s="7" t="s">
        <v>68</v>
      </c>
      <c r="V110" s="7"/>
      <c r="W110" s="9" t="str">
        <f aca="false">IF(V110="","No","Sí")</f>
        <v>No</v>
      </c>
      <c r="X110" s="6"/>
      <c r="Y110" s="6"/>
      <c r="Z110" s="6" t="s">
        <v>990</v>
      </c>
      <c r="AA110" s="6" t="s">
        <v>989</v>
      </c>
      <c r="AB110" s="6" t="s">
        <v>71</v>
      </c>
      <c r="AC110" s="6" t="s">
        <v>847</v>
      </c>
      <c r="AD110" s="6" t="s">
        <v>991</v>
      </c>
      <c r="AE110" s="6" t="s">
        <v>74</v>
      </c>
    </row>
    <row r="111" customFormat="false" ht="23.85" hidden="false" customHeight="false" outlineLevel="0" collapsed="false">
      <c r="A111" s="6" t="s">
        <v>992</v>
      </c>
      <c r="B111" s="4" t="s">
        <v>993</v>
      </c>
      <c r="C111" s="6" t="s">
        <v>994</v>
      </c>
      <c r="D111" s="7" t="s">
        <v>60</v>
      </c>
      <c r="E111" s="6" t="s">
        <v>195</v>
      </c>
      <c r="F111" s="6" t="s">
        <v>62</v>
      </c>
      <c r="G111" s="6" t="s">
        <v>484</v>
      </c>
      <c r="H111" s="4" t="s">
        <v>995</v>
      </c>
      <c r="I111" s="8" t="s">
        <v>996</v>
      </c>
      <c r="J111" s="7" t="s">
        <v>487</v>
      </c>
      <c r="K111" s="9" t="str">
        <f aca="false">LEFT(J111,3)</f>
        <v>T29</v>
      </c>
      <c r="L111" s="7"/>
      <c r="M111" s="9" t="str">
        <f aca="false">IF(L111="",K111,K111&amp;"; "&amp;L111)</f>
        <v>T29</v>
      </c>
      <c r="N111" s="9" t="str">
        <f aca="false">INDEX('Taxonomía temas'!$D$2:$D$54,MATCH(K111,'Taxonomía temas'!$A$2:$A$54,0))</f>
        <v>Educación, cultura y deporte</v>
      </c>
      <c r="O111" s="9" t="n">
        <f aca="false">INDEX('Taxonomía temas'!$F$2:$F$54,MATCH(K111,'Taxonomía temas'!$A$2:$A$54,0))</f>
        <v>4</v>
      </c>
      <c r="P111" s="7"/>
      <c r="Q111" s="7" t="s">
        <v>94</v>
      </c>
      <c r="R111" s="7" t="s">
        <v>68</v>
      </c>
      <c r="S111" s="7" t="s">
        <v>68</v>
      </c>
      <c r="T111" s="7" t="s">
        <v>68</v>
      </c>
      <c r="U111" s="7" t="s">
        <v>68</v>
      </c>
      <c r="V111" s="7" t="s">
        <v>997</v>
      </c>
      <c r="W111" s="9" t="str">
        <f aca="false">IF(V111="","No","Sí")</f>
        <v>Sí</v>
      </c>
      <c r="X111" s="6" t="s">
        <v>998</v>
      </c>
      <c r="Y111" s="6"/>
      <c r="Z111" s="6" t="s">
        <v>999</v>
      </c>
      <c r="AA111" s="4" t="s">
        <v>1000</v>
      </c>
      <c r="AB111" s="6" t="s">
        <v>71</v>
      </c>
      <c r="AC111" s="6" t="s">
        <v>1001</v>
      </c>
      <c r="AD111" s="6" t="s">
        <v>1002</v>
      </c>
      <c r="AE111" s="6" t="s">
        <v>74</v>
      </c>
    </row>
    <row r="112" customFormat="false" ht="23.85" hidden="false" customHeight="false" outlineLevel="0" collapsed="false">
      <c r="A112" s="6" t="s">
        <v>1003</v>
      </c>
      <c r="B112" s="4" t="s">
        <v>1004</v>
      </c>
      <c r="C112" s="6" t="s">
        <v>1005</v>
      </c>
      <c r="D112" s="7" t="s">
        <v>60</v>
      </c>
      <c r="E112" s="6" t="s">
        <v>61</v>
      </c>
      <c r="F112" s="6" t="s">
        <v>79</v>
      </c>
      <c r="G112" s="6" t="s">
        <v>60</v>
      </c>
      <c r="H112" s="4" t="s">
        <v>1006</v>
      </c>
      <c r="I112" s="8" t="s">
        <v>1007</v>
      </c>
      <c r="J112" s="7" t="s">
        <v>1008</v>
      </c>
      <c r="K112" s="9" t="str">
        <f aca="false">LEFT(J112,3)</f>
        <v>T27</v>
      </c>
      <c r="L112" s="7" t="s">
        <v>1009</v>
      </c>
      <c r="M112" s="9" t="str">
        <f aca="false">IF(L112="",K112,K112&amp;"; "&amp;L112)</f>
        <v>T27; T28; T29</v>
      </c>
      <c r="N112" s="9" t="str">
        <f aca="false">INDEX('Taxonomía temas'!$D$2:$D$54,MATCH(K112,'Taxonomía temas'!$A$2:$A$54,0))</f>
        <v>Educación, cultura y deporte</v>
      </c>
      <c r="O112" s="9" t="n">
        <f aca="false">INDEX('Taxonomía temas'!$F$2:$F$54,MATCH(K112,'Taxonomía temas'!$A$2:$A$54,0))</f>
        <v>4</v>
      </c>
      <c r="P112" s="7"/>
      <c r="Q112" s="7" t="s">
        <v>94</v>
      </c>
      <c r="R112" s="7" t="s">
        <v>68</v>
      </c>
      <c r="S112" s="7" t="s">
        <v>68</v>
      </c>
      <c r="T112" s="7" t="s">
        <v>68</v>
      </c>
      <c r="U112" s="7" t="s">
        <v>68</v>
      </c>
      <c r="V112" s="7"/>
      <c r="W112" s="9" t="str">
        <f aca="false">IF(V112="","No","Sí")</f>
        <v>No</v>
      </c>
      <c r="X112" s="6"/>
      <c r="Y112" s="6"/>
      <c r="Z112" s="6" t="s">
        <v>254</v>
      </c>
      <c r="AA112" s="6" t="s">
        <v>1007</v>
      </c>
      <c r="AB112" s="6" t="s">
        <v>71</v>
      </c>
      <c r="AC112" s="6" t="s">
        <v>1001</v>
      </c>
      <c r="AD112" s="6" t="s">
        <v>1010</v>
      </c>
      <c r="AE112" s="6" t="s">
        <v>74</v>
      </c>
    </row>
    <row r="113" customFormat="false" ht="15" hidden="false" customHeight="false" outlineLevel="0" collapsed="false">
      <c r="A113" s="6" t="s">
        <v>1011</v>
      </c>
      <c r="B113" s="4" t="s">
        <v>1012</v>
      </c>
      <c r="C113" s="6" t="s">
        <v>994</v>
      </c>
      <c r="D113" s="7" t="s">
        <v>60</v>
      </c>
      <c r="E113" s="6" t="s">
        <v>195</v>
      </c>
      <c r="F113" s="6" t="s">
        <v>79</v>
      </c>
      <c r="G113" s="6" t="s">
        <v>484</v>
      </c>
      <c r="H113" s="4" t="s">
        <v>1013</v>
      </c>
      <c r="I113" s="8" t="s">
        <v>1014</v>
      </c>
      <c r="J113" s="7" t="s">
        <v>487</v>
      </c>
      <c r="K113" s="9" t="str">
        <f aca="false">LEFT(J113,3)</f>
        <v>T29</v>
      </c>
      <c r="L113" s="7"/>
      <c r="M113" s="9" t="str">
        <f aca="false">IF(L113="",K113,K113&amp;"; "&amp;L113)</f>
        <v>T29</v>
      </c>
      <c r="N113" s="9" t="str">
        <f aca="false">INDEX('Taxonomía temas'!$D$2:$D$54,MATCH(K113,'Taxonomía temas'!$A$2:$A$54,0))</f>
        <v>Educación, cultura y deporte</v>
      </c>
      <c r="O113" s="9" t="n">
        <f aca="false">INDEX('Taxonomía temas'!$F$2:$F$54,MATCH(K113,'Taxonomía temas'!$A$2:$A$54,0))</f>
        <v>4</v>
      </c>
      <c r="P113" s="7"/>
      <c r="Q113" s="7" t="s">
        <v>94</v>
      </c>
      <c r="R113" s="7" t="s">
        <v>68</v>
      </c>
      <c r="S113" s="7" t="s">
        <v>68</v>
      </c>
      <c r="T113" s="7" t="s">
        <v>68</v>
      </c>
      <c r="U113" s="7" t="s">
        <v>68</v>
      </c>
      <c r="V113" s="7" t="s">
        <v>430</v>
      </c>
      <c r="W113" s="9" t="str">
        <f aca="false">IF(V113="","No","Sí")</f>
        <v>Sí</v>
      </c>
      <c r="X113" s="6"/>
      <c r="Y113" s="6"/>
      <c r="Z113" s="6" t="s">
        <v>1015</v>
      </c>
      <c r="AA113" s="6" t="s">
        <v>1014</v>
      </c>
      <c r="AB113" s="6" t="s">
        <v>71</v>
      </c>
      <c r="AC113" s="6" t="s">
        <v>1001</v>
      </c>
      <c r="AD113" s="6" t="s">
        <v>1016</v>
      </c>
      <c r="AE113" s="6" t="s">
        <v>74</v>
      </c>
    </row>
    <row r="114" customFormat="false" ht="23.85" hidden="false" customHeight="false" outlineLevel="0" collapsed="false">
      <c r="A114" s="6" t="s">
        <v>1017</v>
      </c>
      <c r="B114" s="4" t="s">
        <v>1018</v>
      </c>
      <c r="C114" s="6" t="s">
        <v>1019</v>
      </c>
      <c r="D114" s="7" t="s">
        <v>60</v>
      </c>
      <c r="E114" s="6" t="s">
        <v>78</v>
      </c>
      <c r="F114" s="6" t="s">
        <v>242</v>
      </c>
      <c r="G114" s="6" t="s">
        <v>60</v>
      </c>
      <c r="H114" s="4" t="s">
        <v>1020</v>
      </c>
      <c r="I114" s="8" t="s">
        <v>1021</v>
      </c>
      <c r="J114" s="7" t="s">
        <v>1008</v>
      </c>
      <c r="K114" s="9" t="str">
        <f aca="false">LEFT(J114,3)</f>
        <v>T27</v>
      </c>
      <c r="L114" s="7"/>
      <c r="M114" s="9" t="str">
        <f aca="false">IF(L114="",K114,K114&amp;"; "&amp;L114)</f>
        <v>T27</v>
      </c>
      <c r="N114" s="9" t="str">
        <f aca="false">INDEX('Taxonomía temas'!$D$2:$D$54,MATCH(K114,'Taxonomía temas'!$A$2:$A$54,0))</f>
        <v>Educación, cultura y deporte</v>
      </c>
      <c r="O114" s="9" t="n">
        <f aca="false">INDEX('Taxonomía temas'!$F$2:$F$54,MATCH(K114,'Taxonomía temas'!$A$2:$A$54,0))</f>
        <v>4</v>
      </c>
      <c r="P114" s="7"/>
      <c r="Q114" s="7" t="s">
        <v>67</v>
      </c>
      <c r="R114" s="7" t="s">
        <v>68</v>
      </c>
      <c r="S114" s="7" t="s">
        <v>68</v>
      </c>
      <c r="T114" s="7" t="s">
        <v>68</v>
      </c>
      <c r="U114" s="7" t="s">
        <v>68</v>
      </c>
      <c r="V114" s="7"/>
      <c r="W114" s="9" t="str">
        <f aca="false">IF(V114="","No","Sí")</f>
        <v>No</v>
      </c>
      <c r="X114" s="6"/>
      <c r="Y114" s="6"/>
      <c r="Z114" s="6" t="s">
        <v>1022</v>
      </c>
      <c r="AA114" s="6" t="s">
        <v>1021</v>
      </c>
      <c r="AB114" s="6" t="s">
        <v>71</v>
      </c>
      <c r="AC114" s="6" t="s">
        <v>1001</v>
      </c>
      <c r="AD114" s="6" t="s">
        <v>1023</v>
      </c>
      <c r="AE114" s="6" t="s">
        <v>74</v>
      </c>
    </row>
    <row r="115" customFormat="false" ht="23.85" hidden="false" customHeight="false" outlineLevel="0" collapsed="false">
      <c r="A115" s="6" t="s">
        <v>1024</v>
      </c>
      <c r="B115" s="4" t="s">
        <v>1025</v>
      </c>
      <c r="C115" s="6" t="s">
        <v>1026</v>
      </c>
      <c r="D115" s="7" t="s">
        <v>60</v>
      </c>
      <c r="E115" s="6" t="s">
        <v>61</v>
      </c>
      <c r="F115" s="6" t="s">
        <v>196</v>
      </c>
      <c r="G115" s="6" t="s">
        <v>1027</v>
      </c>
      <c r="H115" s="4" t="s">
        <v>1028</v>
      </c>
      <c r="I115" s="8" t="s">
        <v>1029</v>
      </c>
      <c r="J115" s="7" t="s">
        <v>1030</v>
      </c>
      <c r="K115" s="9" t="str">
        <f aca="false">LEFT(J115,3)</f>
        <v>T28</v>
      </c>
      <c r="L115" s="7"/>
      <c r="M115" s="9" t="str">
        <f aca="false">IF(L115="",K115,K115&amp;"; "&amp;L115)</f>
        <v>T28</v>
      </c>
      <c r="N115" s="9" t="str">
        <f aca="false">INDEX('Taxonomía temas'!$D$2:$D$54,MATCH(K115,'Taxonomía temas'!$A$2:$A$54,0))</f>
        <v>Educación, cultura y deporte</v>
      </c>
      <c r="O115" s="9" t="n">
        <f aca="false">INDEX('Taxonomía temas'!$F$2:$F$54,MATCH(K115,'Taxonomía temas'!$A$2:$A$54,0))</f>
        <v>4</v>
      </c>
      <c r="P115" s="7"/>
      <c r="Q115" s="7" t="s">
        <v>177</v>
      </c>
      <c r="R115" s="7" t="s">
        <v>68</v>
      </c>
      <c r="S115" s="7" t="s">
        <v>68</v>
      </c>
      <c r="T115" s="7" t="s">
        <v>68</v>
      </c>
      <c r="U115" s="7" t="s">
        <v>68</v>
      </c>
      <c r="V115" s="7" t="s">
        <v>1031</v>
      </c>
      <c r="W115" s="9" t="str">
        <f aca="false">IF(V115="","No","Sí")</f>
        <v>Sí</v>
      </c>
      <c r="X115" s="6" t="s">
        <v>1032</v>
      </c>
      <c r="Y115" s="6" t="s">
        <v>1033</v>
      </c>
      <c r="Z115" s="6" t="s">
        <v>1034</v>
      </c>
      <c r="AA115" s="4" t="s">
        <v>1035</v>
      </c>
      <c r="AB115" s="6" t="s">
        <v>71</v>
      </c>
      <c r="AC115" s="6" t="s">
        <v>1001</v>
      </c>
      <c r="AD115" s="6" t="s">
        <v>1036</v>
      </c>
      <c r="AE115" s="6" t="s">
        <v>74</v>
      </c>
    </row>
    <row r="116" customFormat="false" ht="23.85" hidden="false" customHeight="false" outlineLevel="0" collapsed="false">
      <c r="A116" s="6" t="s">
        <v>1037</v>
      </c>
      <c r="B116" s="4" t="s">
        <v>1038</v>
      </c>
      <c r="C116" s="6" t="s">
        <v>1039</v>
      </c>
      <c r="D116" s="7" t="s">
        <v>60</v>
      </c>
      <c r="E116" s="6" t="s">
        <v>61</v>
      </c>
      <c r="F116" s="6" t="s">
        <v>196</v>
      </c>
      <c r="G116" s="6" t="s">
        <v>1027</v>
      </c>
      <c r="H116" s="4" t="s">
        <v>1040</v>
      </c>
      <c r="I116" s="8" t="s">
        <v>1041</v>
      </c>
      <c r="J116" s="7" t="s">
        <v>1008</v>
      </c>
      <c r="K116" s="9" t="str">
        <f aca="false">LEFT(J116,3)</f>
        <v>T27</v>
      </c>
      <c r="L116" s="7"/>
      <c r="M116" s="9" t="str">
        <f aca="false">IF(L116="",K116,K116&amp;"; "&amp;L116)</f>
        <v>T27</v>
      </c>
      <c r="N116" s="9" t="str">
        <f aca="false">INDEX('Taxonomía temas'!$D$2:$D$54,MATCH(K116,'Taxonomía temas'!$A$2:$A$54,0))</f>
        <v>Educación, cultura y deporte</v>
      </c>
      <c r="O116" s="9" t="n">
        <f aca="false">INDEX('Taxonomía temas'!$F$2:$F$54,MATCH(K116,'Taxonomía temas'!$A$2:$A$54,0))</f>
        <v>4</v>
      </c>
      <c r="P116" s="7"/>
      <c r="Q116" s="7" t="s">
        <v>177</v>
      </c>
      <c r="R116" s="7" t="s">
        <v>68</v>
      </c>
      <c r="S116" s="7" t="s">
        <v>68</v>
      </c>
      <c r="T116" s="7" t="s">
        <v>224</v>
      </c>
      <c r="U116" s="7" t="s">
        <v>68</v>
      </c>
      <c r="V116" s="7" t="s">
        <v>1042</v>
      </c>
      <c r="W116" s="9" t="str">
        <f aca="false">IF(V116="","No","Sí")</f>
        <v>Sí</v>
      </c>
      <c r="X116" s="6"/>
      <c r="Y116" s="6" t="s">
        <v>1033</v>
      </c>
      <c r="Z116" s="6" t="s">
        <v>1043</v>
      </c>
      <c r="AA116" s="4" t="s">
        <v>1044</v>
      </c>
      <c r="AB116" s="6" t="s">
        <v>71</v>
      </c>
      <c r="AC116" s="6" t="s">
        <v>1001</v>
      </c>
      <c r="AD116" s="6" t="s">
        <v>1045</v>
      </c>
      <c r="AE116" s="6" t="s">
        <v>74</v>
      </c>
    </row>
    <row r="117" customFormat="false" ht="23.85" hidden="false" customHeight="false" outlineLevel="0" collapsed="false">
      <c r="A117" s="6" t="s">
        <v>1046</v>
      </c>
      <c r="B117" s="4" t="s">
        <v>1047</v>
      </c>
      <c r="C117" s="6" t="s">
        <v>1048</v>
      </c>
      <c r="D117" s="7" t="s">
        <v>60</v>
      </c>
      <c r="E117" s="6" t="s">
        <v>61</v>
      </c>
      <c r="F117" s="6" t="s">
        <v>196</v>
      </c>
      <c r="G117" s="6" t="s">
        <v>1027</v>
      </c>
      <c r="H117" s="4" t="s">
        <v>1049</v>
      </c>
      <c r="I117" s="8" t="s">
        <v>1050</v>
      </c>
      <c r="J117" s="7" t="s">
        <v>1008</v>
      </c>
      <c r="K117" s="9" t="str">
        <f aca="false">LEFT(J117,3)</f>
        <v>T27</v>
      </c>
      <c r="L117" s="7"/>
      <c r="M117" s="9" t="str">
        <f aca="false">IF(L117="",K117,K117&amp;"; "&amp;L117)</f>
        <v>T27</v>
      </c>
      <c r="N117" s="9" t="str">
        <f aca="false">INDEX('Taxonomía temas'!$D$2:$D$54,MATCH(K117,'Taxonomía temas'!$A$2:$A$54,0))</f>
        <v>Educación, cultura y deporte</v>
      </c>
      <c r="O117" s="9" t="n">
        <f aca="false">INDEX('Taxonomía temas'!$F$2:$F$54,MATCH(K117,'Taxonomía temas'!$A$2:$A$54,0))</f>
        <v>4</v>
      </c>
      <c r="P117" s="7"/>
      <c r="Q117" s="7" t="s">
        <v>177</v>
      </c>
      <c r="R117" s="7" t="s">
        <v>68</v>
      </c>
      <c r="S117" s="7" t="s">
        <v>68</v>
      </c>
      <c r="T117" s="7" t="s">
        <v>224</v>
      </c>
      <c r="U117" s="7" t="s">
        <v>68</v>
      </c>
      <c r="V117" s="7" t="s">
        <v>1051</v>
      </c>
      <c r="W117" s="9" t="str">
        <f aca="false">IF(V117="","No","Sí")</f>
        <v>Sí</v>
      </c>
      <c r="X117" s="6"/>
      <c r="Y117" s="6" t="s">
        <v>1033</v>
      </c>
      <c r="Z117" s="6" t="s">
        <v>1052</v>
      </c>
      <c r="AA117" s="4" t="s">
        <v>1053</v>
      </c>
      <c r="AB117" s="6" t="s">
        <v>71</v>
      </c>
      <c r="AC117" s="6" t="s">
        <v>1001</v>
      </c>
      <c r="AD117" s="6" t="s">
        <v>1054</v>
      </c>
      <c r="AE117" s="6" t="s">
        <v>74</v>
      </c>
    </row>
    <row r="118" customFormat="false" ht="23.85" hidden="false" customHeight="false" outlineLevel="0" collapsed="false">
      <c r="A118" s="6" t="s">
        <v>1055</v>
      </c>
      <c r="B118" s="4" t="s">
        <v>1056</v>
      </c>
      <c r="C118" s="6" t="s">
        <v>1033</v>
      </c>
      <c r="D118" s="7" t="s">
        <v>60</v>
      </c>
      <c r="E118" s="6" t="s">
        <v>61</v>
      </c>
      <c r="F118" s="6" t="s">
        <v>242</v>
      </c>
      <c r="G118" s="6" t="s">
        <v>60</v>
      </c>
      <c r="H118" s="4" t="s">
        <v>1057</v>
      </c>
      <c r="I118" s="8" t="s">
        <v>1058</v>
      </c>
      <c r="J118" s="7" t="s">
        <v>1008</v>
      </c>
      <c r="K118" s="9" t="str">
        <f aca="false">LEFT(J118,3)</f>
        <v>T27</v>
      </c>
      <c r="L118" s="7"/>
      <c r="M118" s="9" t="str">
        <f aca="false">IF(L118="",K118,K118&amp;"; "&amp;L118)</f>
        <v>T27</v>
      </c>
      <c r="N118" s="9" t="str">
        <f aca="false">INDEX('Taxonomía temas'!$D$2:$D$54,MATCH(K118,'Taxonomía temas'!$A$2:$A$54,0))</f>
        <v>Educación, cultura y deporte</v>
      </c>
      <c r="O118" s="9" t="n">
        <f aca="false">INDEX('Taxonomía temas'!$F$2:$F$54,MATCH(K118,'Taxonomía temas'!$A$2:$A$54,0))</f>
        <v>4</v>
      </c>
      <c r="P118" s="7"/>
      <c r="Q118" s="7" t="s">
        <v>67</v>
      </c>
      <c r="R118" s="7" t="s">
        <v>68</v>
      </c>
      <c r="S118" s="7" t="s">
        <v>68</v>
      </c>
      <c r="T118" s="7" t="s">
        <v>68</v>
      </c>
      <c r="U118" s="7" t="s">
        <v>68</v>
      </c>
      <c r="V118" s="7"/>
      <c r="W118" s="9" t="str">
        <f aca="false">IF(V118="","No","Sí")</f>
        <v>No</v>
      </c>
      <c r="X118" s="6"/>
      <c r="Y118" s="6"/>
      <c r="Z118" s="6" t="s">
        <v>1059</v>
      </c>
      <c r="AA118" s="6" t="s">
        <v>1058</v>
      </c>
      <c r="AB118" s="6" t="s">
        <v>71</v>
      </c>
      <c r="AC118" s="6" t="s">
        <v>1001</v>
      </c>
      <c r="AD118" s="6" t="s">
        <v>1060</v>
      </c>
      <c r="AE118" s="6" t="s">
        <v>74</v>
      </c>
    </row>
    <row r="119" customFormat="false" ht="23.85" hidden="false" customHeight="false" outlineLevel="0" collapsed="false">
      <c r="A119" s="6" t="s">
        <v>1061</v>
      </c>
      <c r="B119" s="4" t="s">
        <v>1062</v>
      </c>
      <c r="C119" s="6" t="s">
        <v>1063</v>
      </c>
      <c r="D119" s="7" t="s">
        <v>60</v>
      </c>
      <c r="E119" s="6" t="s">
        <v>61</v>
      </c>
      <c r="F119" s="6" t="s">
        <v>242</v>
      </c>
      <c r="G119" s="6" t="s">
        <v>60</v>
      </c>
      <c r="H119" s="4" t="s">
        <v>1064</v>
      </c>
      <c r="I119" s="8" t="s">
        <v>1065</v>
      </c>
      <c r="J119" s="7" t="s">
        <v>1030</v>
      </c>
      <c r="K119" s="9" t="str">
        <f aca="false">LEFT(J119,3)</f>
        <v>T28</v>
      </c>
      <c r="L119" s="7" t="s">
        <v>166</v>
      </c>
      <c r="M119" s="9" t="str">
        <f aca="false">IF(L119="",K119,K119&amp;"; "&amp;L119)</f>
        <v>T28; T14</v>
      </c>
      <c r="N119" s="9" t="str">
        <f aca="false">INDEX('Taxonomía temas'!$D$2:$D$54,MATCH(K119,'Taxonomía temas'!$A$2:$A$54,0))</f>
        <v>Educación, cultura y deporte</v>
      </c>
      <c r="O119" s="9" t="n">
        <f aca="false">INDEX('Taxonomía temas'!$F$2:$F$54,MATCH(K119,'Taxonomía temas'!$A$2:$A$54,0))</f>
        <v>4</v>
      </c>
      <c r="P119" s="7"/>
      <c r="Q119" s="7" t="s">
        <v>67</v>
      </c>
      <c r="R119" s="7" t="s">
        <v>68</v>
      </c>
      <c r="S119" s="7" t="s">
        <v>68</v>
      </c>
      <c r="T119" s="7" t="s">
        <v>68</v>
      </c>
      <c r="U119" s="7" t="s">
        <v>68</v>
      </c>
      <c r="V119" s="7"/>
      <c r="W119" s="9" t="str">
        <f aca="false">IF(V119="","No","Sí")</f>
        <v>No</v>
      </c>
      <c r="X119" s="6"/>
      <c r="Y119" s="6"/>
      <c r="Z119" s="6" t="s">
        <v>1066</v>
      </c>
      <c r="AA119" s="6" t="s">
        <v>1065</v>
      </c>
      <c r="AB119" s="6" t="s">
        <v>71</v>
      </c>
      <c r="AC119" s="6" t="s">
        <v>1001</v>
      </c>
      <c r="AD119" s="6" t="s">
        <v>1067</v>
      </c>
      <c r="AE119" s="6" t="s">
        <v>74</v>
      </c>
    </row>
    <row r="120" customFormat="false" ht="15" hidden="false" customHeight="false" outlineLevel="0" collapsed="false">
      <c r="A120" s="6" t="s">
        <v>1068</v>
      </c>
      <c r="B120" s="4" t="s">
        <v>1069</v>
      </c>
      <c r="C120" s="6" t="s">
        <v>1033</v>
      </c>
      <c r="D120" s="7" t="s">
        <v>60</v>
      </c>
      <c r="E120" s="6" t="s">
        <v>61</v>
      </c>
      <c r="F120" s="6" t="s">
        <v>1070</v>
      </c>
      <c r="G120" s="6" t="s">
        <v>60</v>
      </c>
      <c r="H120" s="4" t="s">
        <v>1071</v>
      </c>
      <c r="I120" s="8" t="s">
        <v>1072</v>
      </c>
      <c r="J120" s="7" t="s">
        <v>1008</v>
      </c>
      <c r="K120" s="9" t="str">
        <f aca="false">LEFT(J120,3)</f>
        <v>T27</v>
      </c>
      <c r="L120" s="7"/>
      <c r="M120" s="9" t="str">
        <f aca="false">IF(L120="",K120,K120&amp;"; "&amp;L120)</f>
        <v>T27</v>
      </c>
      <c r="N120" s="9" t="str">
        <f aca="false">INDEX('Taxonomía temas'!$D$2:$D$54,MATCH(K120,'Taxonomía temas'!$A$2:$A$54,0))</f>
        <v>Educación, cultura y deporte</v>
      </c>
      <c r="O120" s="9" t="n">
        <f aca="false">INDEX('Taxonomía temas'!$F$2:$F$54,MATCH(K120,'Taxonomía temas'!$A$2:$A$54,0))</f>
        <v>4</v>
      </c>
      <c r="P120" s="7"/>
      <c r="Q120" s="7" t="s">
        <v>177</v>
      </c>
      <c r="R120" s="7" t="s">
        <v>68</v>
      </c>
      <c r="S120" s="7" t="s">
        <v>68</v>
      </c>
      <c r="T120" s="7" t="s">
        <v>68</v>
      </c>
      <c r="U120" s="7" t="s">
        <v>68</v>
      </c>
      <c r="V120" s="7"/>
      <c r="W120" s="9" t="str">
        <f aca="false">IF(V120="","No","Sí")</f>
        <v>No</v>
      </c>
      <c r="X120" s="6"/>
      <c r="Y120" s="6"/>
      <c r="Z120" s="6" t="s">
        <v>1073</v>
      </c>
      <c r="AA120" s="6" t="s">
        <v>1072</v>
      </c>
      <c r="AB120" s="6" t="s">
        <v>71</v>
      </c>
      <c r="AC120" s="6" t="s">
        <v>1001</v>
      </c>
      <c r="AD120" s="6" t="s">
        <v>1074</v>
      </c>
      <c r="AE120" s="6" t="s">
        <v>74</v>
      </c>
    </row>
    <row r="121" customFormat="false" ht="23.85" hidden="false" customHeight="false" outlineLevel="0" collapsed="false">
      <c r="A121" s="6" t="s">
        <v>1075</v>
      </c>
      <c r="B121" s="4" t="s">
        <v>1076</v>
      </c>
      <c r="C121" s="6" t="s">
        <v>1033</v>
      </c>
      <c r="D121" s="7" t="s">
        <v>60</v>
      </c>
      <c r="E121" s="6" t="s">
        <v>61</v>
      </c>
      <c r="F121" s="6" t="s">
        <v>344</v>
      </c>
      <c r="G121" s="6" t="s">
        <v>60</v>
      </c>
      <c r="H121" s="4" t="s">
        <v>1077</v>
      </c>
      <c r="I121" s="8" t="s">
        <v>1078</v>
      </c>
      <c r="J121" s="7" t="s">
        <v>1008</v>
      </c>
      <c r="K121" s="9" t="str">
        <f aca="false">LEFT(J121,3)</f>
        <v>T27</v>
      </c>
      <c r="L121" s="7" t="s">
        <v>695</v>
      </c>
      <c r="M121" s="9" t="str">
        <f aca="false">IF(L121="",K121,K121&amp;"; "&amp;L121)</f>
        <v>T27; T41</v>
      </c>
      <c r="N121" s="9" t="str">
        <f aca="false">INDEX('Taxonomía temas'!$D$2:$D$54,MATCH(K121,'Taxonomía temas'!$A$2:$A$54,0))</f>
        <v>Educación, cultura y deporte</v>
      </c>
      <c r="O121" s="9" t="n">
        <f aca="false">INDEX('Taxonomía temas'!$F$2:$F$54,MATCH(K121,'Taxonomía temas'!$A$2:$A$54,0))</f>
        <v>4</v>
      </c>
      <c r="P121" s="7" t="s">
        <v>253</v>
      </c>
      <c r="Q121" s="7" t="s">
        <v>177</v>
      </c>
      <c r="R121" s="7" t="s">
        <v>68</v>
      </c>
      <c r="S121" s="7" t="s">
        <v>68</v>
      </c>
      <c r="T121" s="7" t="s">
        <v>224</v>
      </c>
      <c r="U121" s="7" t="s">
        <v>68</v>
      </c>
      <c r="V121" s="7"/>
      <c r="W121" s="9" t="str">
        <f aca="false">IF(V121="","No","Sí")</f>
        <v>No</v>
      </c>
      <c r="X121" s="6"/>
      <c r="Y121" s="6"/>
      <c r="Z121" s="6" t="s">
        <v>1079</v>
      </c>
      <c r="AA121" s="6" t="s">
        <v>1078</v>
      </c>
      <c r="AB121" s="6" t="s">
        <v>71</v>
      </c>
      <c r="AC121" s="6" t="s">
        <v>1001</v>
      </c>
      <c r="AD121" s="6" t="s">
        <v>1080</v>
      </c>
      <c r="AE121" s="6" t="s">
        <v>74</v>
      </c>
    </row>
    <row r="122" customFormat="false" ht="23.85" hidden="false" customHeight="false" outlineLevel="0" collapsed="false">
      <c r="A122" s="6" t="s">
        <v>1081</v>
      </c>
      <c r="B122" s="4" t="s">
        <v>1082</v>
      </c>
      <c r="C122" s="6" t="s">
        <v>1083</v>
      </c>
      <c r="D122" s="7" t="s">
        <v>60</v>
      </c>
      <c r="E122" s="6" t="s">
        <v>78</v>
      </c>
      <c r="F122" s="6" t="s">
        <v>79</v>
      </c>
      <c r="G122" s="6" t="s">
        <v>60</v>
      </c>
      <c r="H122" s="4" t="s">
        <v>1084</v>
      </c>
      <c r="I122" s="8" t="s">
        <v>1085</v>
      </c>
      <c r="J122" s="7" t="s">
        <v>1086</v>
      </c>
      <c r="K122" s="9" t="str">
        <f aca="false">LEFT(J122,3)</f>
        <v>T11</v>
      </c>
      <c r="L122" s="7"/>
      <c r="M122" s="9" t="str">
        <f aca="false">IF(L122="",K122,K122&amp;"; "&amp;L122)</f>
        <v>T11</v>
      </c>
      <c r="N122" s="9" t="str">
        <f aca="false">INDEX('Taxonomía temas'!$D$2:$D$54,MATCH(K122,'Taxonomía temas'!$A$2:$A$54,0))</f>
        <v>Ciencia, tecnología e innovación</v>
      </c>
      <c r="O122" s="9" t="n">
        <f aca="false">INDEX('Taxonomía temas'!$F$2:$F$54,MATCH(K122,'Taxonomía temas'!$A$2:$A$54,0))</f>
        <v>9</v>
      </c>
      <c r="P122" s="7" t="s">
        <v>223</v>
      </c>
      <c r="Q122" s="7" t="s">
        <v>94</v>
      </c>
      <c r="R122" s="7" t="s">
        <v>68</v>
      </c>
      <c r="S122" s="7" t="s">
        <v>68</v>
      </c>
      <c r="T122" s="7" t="s">
        <v>68</v>
      </c>
      <c r="U122" s="7" t="s">
        <v>224</v>
      </c>
      <c r="V122" s="7"/>
      <c r="W122" s="9" t="str">
        <f aca="false">IF(V122="","No","Sí")</f>
        <v>No</v>
      </c>
      <c r="X122" s="6"/>
      <c r="Y122" s="6"/>
      <c r="Z122" s="6" t="s">
        <v>1087</v>
      </c>
      <c r="AA122" s="6" t="s">
        <v>1088</v>
      </c>
      <c r="AB122" s="6" t="s">
        <v>71</v>
      </c>
      <c r="AC122" s="6" t="s">
        <v>1089</v>
      </c>
      <c r="AD122" s="6" t="s">
        <v>1090</v>
      </c>
      <c r="AE122" s="6" t="s">
        <v>74</v>
      </c>
    </row>
    <row r="123" customFormat="false" ht="23.85" hidden="false" customHeight="false" outlineLevel="0" collapsed="false">
      <c r="A123" s="6" t="s">
        <v>1091</v>
      </c>
      <c r="B123" s="4" t="s">
        <v>1092</v>
      </c>
      <c r="C123" s="6" t="s">
        <v>1083</v>
      </c>
      <c r="D123" s="7" t="s">
        <v>60</v>
      </c>
      <c r="E123" s="6" t="s">
        <v>78</v>
      </c>
      <c r="F123" s="6" t="s">
        <v>672</v>
      </c>
      <c r="G123" s="6" t="s">
        <v>60</v>
      </c>
      <c r="H123" s="4" t="s">
        <v>1093</v>
      </c>
      <c r="I123" s="8" t="s">
        <v>1094</v>
      </c>
      <c r="J123" s="7" t="s">
        <v>1086</v>
      </c>
      <c r="K123" s="9" t="str">
        <f aca="false">LEFT(J123,3)</f>
        <v>T11</v>
      </c>
      <c r="L123" s="7" t="s">
        <v>1095</v>
      </c>
      <c r="M123" s="9" t="str">
        <f aca="false">IF(L123="",K123,K123&amp;"; "&amp;L123)</f>
        <v>T11; T44</v>
      </c>
      <c r="N123" s="9" t="str">
        <f aca="false">INDEX('Taxonomía temas'!$D$2:$D$54,MATCH(K123,'Taxonomía temas'!$A$2:$A$54,0))</f>
        <v>Ciencia, tecnología e innovación</v>
      </c>
      <c r="O123" s="9" t="n">
        <f aca="false">INDEX('Taxonomía temas'!$F$2:$F$54,MATCH(K123,'Taxonomía temas'!$A$2:$A$54,0))</f>
        <v>9</v>
      </c>
      <c r="P123" s="7"/>
      <c r="Q123" s="7" t="s">
        <v>326</v>
      </c>
      <c r="R123" s="7" t="s">
        <v>224</v>
      </c>
      <c r="S123" s="7" t="s">
        <v>68</v>
      </c>
      <c r="T123" s="7" t="s">
        <v>68</v>
      </c>
      <c r="U123" s="7" t="s">
        <v>68</v>
      </c>
      <c r="V123" s="7"/>
      <c r="W123" s="9" t="str">
        <f aca="false">IF(V123="","No","Sí")</f>
        <v>No</v>
      </c>
      <c r="X123" s="6"/>
      <c r="Y123" s="6"/>
      <c r="Z123" s="6" t="s">
        <v>1096</v>
      </c>
      <c r="AA123" s="6" t="s">
        <v>1097</v>
      </c>
      <c r="AB123" s="6" t="s">
        <v>71</v>
      </c>
      <c r="AC123" s="6" t="s">
        <v>1089</v>
      </c>
      <c r="AD123" s="6" t="s">
        <v>1098</v>
      </c>
      <c r="AE123" s="6" t="s">
        <v>74</v>
      </c>
    </row>
    <row r="124" customFormat="false" ht="23.85" hidden="false" customHeight="false" outlineLevel="0" collapsed="false">
      <c r="A124" s="6" t="s">
        <v>1099</v>
      </c>
      <c r="B124" s="4" t="s">
        <v>1100</v>
      </c>
      <c r="C124" s="6" t="s">
        <v>1101</v>
      </c>
      <c r="D124" s="7" t="s">
        <v>60</v>
      </c>
      <c r="E124" s="6" t="s">
        <v>61</v>
      </c>
      <c r="F124" s="6" t="s">
        <v>1102</v>
      </c>
      <c r="G124" s="6" t="s">
        <v>60</v>
      </c>
      <c r="H124" s="4" t="s">
        <v>1103</v>
      </c>
      <c r="I124" s="8" t="s">
        <v>1104</v>
      </c>
      <c r="J124" s="7" t="s">
        <v>888</v>
      </c>
      <c r="K124" s="9" t="str">
        <f aca="false">LEFT(J124,3)</f>
        <v>T44</v>
      </c>
      <c r="L124" s="7" t="s">
        <v>1105</v>
      </c>
      <c r="M124" s="9" t="str">
        <f aca="false">IF(L124="",K124,K124&amp;"; "&amp;L124)</f>
        <v>T44; T49; T25</v>
      </c>
      <c r="N124" s="9" t="str">
        <f aca="false">INDEX('Taxonomía temas'!$D$2:$D$54,MATCH(K124,'Taxonomía temas'!$A$2:$A$54,0))</f>
        <v>Estado, gobierno y derechos</v>
      </c>
      <c r="O124" s="9" t="n">
        <f aca="false">INDEX('Taxonomía temas'!$F$2:$F$54,MATCH(K124,'Taxonomía temas'!$A$2:$A$54,0))</f>
        <v>16</v>
      </c>
      <c r="P124" s="7"/>
      <c r="Q124" s="7" t="s">
        <v>326</v>
      </c>
      <c r="R124" s="7" t="s">
        <v>224</v>
      </c>
      <c r="S124" s="7" t="s">
        <v>68</v>
      </c>
      <c r="T124" s="7" t="s">
        <v>68</v>
      </c>
      <c r="U124" s="7" t="s">
        <v>68</v>
      </c>
      <c r="V124" s="7"/>
      <c r="W124" s="9" t="str">
        <f aca="false">IF(V124="","No","Sí")</f>
        <v>No</v>
      </c>
      <c r="X124" s="6"/>
      <c r="Y124" s="6"/>
      <c r="Z124" s="6" t="s">
        <v>1106</v>
      </c>
      <c r="AA124" s="6" t="s">
        <v>1107</v>
      </c>
      <c r="AB124" s="6" t="s">
        <v>71</v>
      </c>
      <c r="AC124" s="6" t="s">
        <v>1108</v>
      </c>
      <c r="AD124" s="6" t="s">
        <v>1109</v>
      </c>
      <c r="AE124" s="6" t="s">
        <v>74</v>
      </c>
    </row>
    <row r="125" customFormat="false" ht="23.85" hidden="false" customHeight="false" outlineLevel="0" collapsed="false">
      <c r="A125" s="6" t="s">
        <v>1110</v>
      </c>
      <c r="B125" s="4" t="s">
        <v>1111</v>
      </c>
      <c r="C125" s="6" t="s">
        <v>285</v>
      </c>
      <c r="D125" s="7" t="s">
        <v>286</v>
      </c>
      <c r="E125" s="6" t="s">
        <v>287</v>
      </c>
      <c r="F125" s="6" t="s">
        <v>1102</v>
      </c>
      <c r="G125" s="6" t="s">
        <v>288</v>
      </c>
      <c r="H125" s="4" t="s">
        <v>1112</v>
      </c>
      <c r="I125" s="8" t="s">
        <v>1113</v>
      </c>
      <c r="J125" s="7" t="s">
        <v>888</v>
      </c>
      <c r="K125" s="9" t="str">
        <f aca="false">LEFT(J125,3)</f>
        <v>T44</v>
      </c>
      <c r="L125" s="7"/>
      <c r="M125" s="9" t="str">
        <f aca="false">IF(L125="",K125,K125&amp;"; "&amp;L125)</f>
        <v>T44</v>
      </c>
      <c r="N125" s="9" t="str">
        <f aca="false">INDEX('Taxonomía temas'!$D$2:$D$54,MATCH(K125,'Taxonomía temas'!$A$2:$A$54,0))</f>
        <v>Estado, gobierno y derechos</v>
      </c>
      <c r="O125" s="9" t="n">
        <f aca="false">INDEX('Taxonomía temas'!$F$2:$F$54,MATCH(K125,'Taxonomía temas'!$A$2:$A$54,0))</f>
        <v>16</v>
      </c>
      <c r="P125" s="7" t="s">
        <v>253</v>
      </c>
      <c r="Q125" s="7" t="s">
        <v>326</v>
      </c>
      <c r="R125" s="7" t="s">
        <v>224</v>
      </c>
      <c r="S125" s="7" t="s">
        <v>224</v>
      </c>
      <c r="T125" s="7" t="s">
        <v>68</v>
      </c>
      <c r="U125" s="7" t="s">
        <v>68</v>
      </c>
      <c r="V125" s="7"/>
      <c r="W125" s="9" t="str">
        <f aca="false">IF(V125="","No","Sí")</f>
        <v>No</v>
      </c>
      <c r="X125" s="6"/>
      <c r="Y125" s="6"/>
      <c r="Z125" s="6" t="s">
        <v>1114</v>
      </c>
      <c r="AA125" s="6" t="s">
        <v>1115</v>
      </c>
      <c r="AB125" s="6" t="s">
        <v>71</v>
      </c>
      <c r="AC125" s="6" t="s">
        <v>1108</v>
      </c>
      <c r="AD125" s="6" t="s">
        <v>1116</v>
      </c>
      <c r="AE125" s="6" t="s">
        <v>74</v>
      </c>
    </row>
    <row r="126" customFormat="false" ht="23.85" hidden="false" customHeight="false" outlineLevel="0" collapsed="false">
      <c r="A126" s="6" t="s">
        <v>1117</v>
      </c>
      <c r="B126" s="4" t="s">
        <v>378</v>
      </c>
      <c r="C126" s="6" t="s">
        <v>1118</v>
      </c>
      <c r="D126" s="7" t="s">
        <v>60</v>
      </c>
      <c r="E126" s="6" t="s">
        <v>61</v>
      </c>
      <c r="F126" s="6" t="s">
        <v>1102</v>
      </c>
      <c r="G126" s="6" t="s">
        <v>840</v>
      </c>
      <c r="H126" s="4" t="s">
        <v>1119</v>
      </c>
      <c r="I126" s="8" t="s">
        <v>1120</v>
      </c>
      <c r="J126" s="7" t="s">
        <v>888</v>
      </c>
      <c r="K126" s="9" t="str">
        <f aca="false">LEFT(J126,3)</f>
        <v>T44</v>
      </c>
      <c r="L126" s="7"/>
      <c r="M126" s="9" t="str">
        <f aca="false">IF(L126="",K126,K126&amp;"; "&amp;L126)</f>
        <v>T44</v>
      </c>
      <c r="N126" s="9" t="str">
        <f aca="false">INDEX('Taxonomía temas'!$D$2:$D$54,MATCH(K126,'Taxonomía temas'!$A$2:$A$54,0))</f>
        <v>Estado, gobierno y derechos</v>
      </c>
      <c r="O126" s="9" t="n">
        <f aca="false">INDEX('Taxonomía temas'!$F$2:$F$54,MATCH(K126,'Taxonomía temas'!$A$2:$A$54,0))</f>
        <v>16</v>
      </c>
      <c r="P126" s="7"/>
      <c r="Q126" s="7" t="s">
        <v>326</v>
      </c>
      <c r="R126" s="7" t="s">
        <v>224</v>
      </c>
      <c r="S126" s="7" t="s">
        <v>224</v>
      </c>
      <c r="T126" s="7" t="s">
        <v>68</v>
      </c>
      <c r="U126" s="7" t="s">
        <v>68</v>
      </c>
      <c r="V126" s="7"/>
      <c r="W126" s="9" t="str">
        <f aca="false">IF(V126="","No","Sí")</f>
        <v>No</v>
      </c>
      <c r="X126" s="6"/>
      <c r="Y126" s="6"/>
      <c r="Z126" s="6" t="s">
        <v>1121</v>
      </c>
      <c r="AA126" s="6" t="s">
        <v>1122</v>
      </c>
      <c r="AB126" s="6" t="s">
        <v>71</v>
      </c>
      <c r="AC126" s="6" t="s">
        <v>1108</v>
      </c>
      <c r="AD126" s="6" t="s">
        <v>1123</v>
      </c>
      <c r="AE126" s="6" t="s">
        <v>74</v>
      </c>
    </row>
    <row r="127" customFormat="false" ht="23.85" hidden="false" customHeight="false" outlineLevel="0" collapsed="false">
      <c r="A127" s="6" t="s">
        <v>1124</v>
      </c>
      <c r="B127" s="4" t="s">
        <v>1125</v>
      </c>
      <c r="C127" s="6" t="s">
        <v>1101</v>
      </c>
      <c r="D127" s="7" t="s">
        <v>60</v>
      </c>
      <c r="E127" s="6" t="s">
        <v>61</v>
      </c>
      <c r="F127" s="6" t="s">
        <v>79</v>
      </c>
      <c r="G127" s="6" t="s">
        <v>840</v>
      </c>
      <c r="H127" s="4" t="s">
        <v>1126</v>
      </c>
      <c r="I127" s="8" t="s">
        <v>1127</v>
      </c>
      <c r="J127" s="7" t="s">
        <v>398</v>
      </c>
      <c r="K127" s="9" t="str">
        <f aca="false">LEFT(J127,3)</f>
        <v>T25</v>
      </c>
      <c r="L127" s="7" t="s">
        <v>917</v>
      </c>
      <c r="M127" s="9" t="str">
        <f aca="false">IF(L127="",K127,K127&amp;"; "&amp;L127)</f>
        <v>T25; T40</v>
      </c>
      <c r="N127" s="9" t="str">
        <f aca="false">INDEX('Taxonomía temas'!$D$2:$D$54,MATCH(K127,'Taxonomía temas'!$A$2:$A$54,0))</f>
        <v>Salud y población</v>
      </c>
      <c r="O127" s="9" t="n">
        <f aca="false">INDEX('Taxonomía temas'!$F$2:$F$54,MATCH(K127,'Taxonomía temas'!$A$2:$A$54,0))</f>
        <v>17</v>
      </c>
      <c r="P127" s="7"/>
      <c r="Q127" s="7" t="s">
        <v>94</v>
      </c>
      <c r="R127" s="7" t="s">
        <v>68</v>
      </c>
      <c r="S127" s="7" t="s">
        <v>68</v>
      </c>
      <c r="T127" s="7" t="s">
        <v>224</v>
      </c>
      <c r="U127" s="7" t="s">
        <v>68</v>
      </c>
      <c r="V127" s="7" t="s">
        <v>1128</v>
      </c>
      <c r="W127" s="9" t="str">
        <f aca="false">IF(V127="","No","Sí")</f>
        <v>Sí</v>
      </c>
      <c r="X127" s="6"/>
      <c r="Y127" s="6"/>
      <c r="Z127" s="6" t="s">
        <v>1129</v>
      </c>
      <c r="AA127" s="6" t="s">
        <v>1127</v>
      </c>
      <c r="AB127" s="6" t="s">
        <v>71</v>
      </c>
      <c r="AC127" s="6" t="s">
        <v>1108</v>
      </c>
      <c r="AD127" s="6" t="s">
        <v>1130</v>
      </c>
      <c r="AE127" s="6" t="s">
        <v>74</v>
      </c>
    </row>
    <row r="128" customFormat="false" ht="23.85" hidden="false" customHeight="false" outlineLevel="0" collapsed="false">
      <c r="A128" s="6" t="s">
        <v>1131</v>
      </c>
      <c r="B128" s="4" t="s">
        <v>1132</v>
      </c>
      <c r="C128" s="6" t="s">
        <v>1133</v>
      </c>
      <c r="D128" s="7" t="s">
        <v>60</v>
      </c>
      <c r="E128" s="6" t="s">
        <v>61</v>
      </c>
      <c r="F128" s="6" t="s">
        <v>702</v>
      </c>
      <c r="G128" s="6" t="s">
        <v>60</v>
      </c>
      <c r="H128" s="4" t="s">
        <v>1134</v>
      </c>
      <c r="I128" s="8" t="s">
        <v>1135</v>
      </c>
      <c r="J128" s="7" t="s">
        <v>1136</v>
      </c>
      <c r="K128" s="9" t="str">
        <f aca="false">LEFT(J128,3)</f>
        <v>T43</v>
      </c>
      <c r="L128" s="7" t="s">
        <v>1095</v>
      </c>
      <c r="M128" s="9" t="str">
        <f aca="false">IF(L128="",K128,K128&amp;"; "&amp;L128)</f>
        <v>T43; T44</v>
      </c>
      <c r="N128" s="9" t="str">
        <f aca="false">INDEX('Taxonomía temas'!$D$2:$D$54,MATCH(K128,'Taxonomía temas'!$A$2:$A$54,0))</f>
        <v>Estado, gobierno y derechos</v>
      </c>
      <c r="O128" s="9" t="n">
        <f aca="false">INDEX('Taxonomía temas'!$F$2:$F$54,MATCH(K128,'Taxonomía temas'!$A$2:$A$54,0))</f>
        <v>16</v>
      </c>
      <c r="P128" s="7"/>
      <c r="Q128" s="7" t="s">
        <v>326</v>
      </c>
      <c r="R128" s="7" t="s">
        <v>224</v>
      </c>
      <c r="S128" s="7" t="s">
        <v>68</v>
      </c>
      <c r="T128" s="7" t="s">
        <v>68</v>
      </c>
      <c r="U128" s="7" t="s">
        <v>68</v>
      </c>
      <c r="V128" s="7"/>
      <c r="W128" s="9" t="str">
        <f aca="false">IF(V128="","No","Sí")</f>
        <v>No</v>
      </c>
      <c r="X128" s="6"/>
      <c r="Y128" s="6"/>
      <c r="Z128" s="6" t="s">
        <v>1137</v>
      </c>
      <c r="AA128" s="6" t="s">
        <v>1135</v>
      </c>
      <c r="AB128" s="6" t="s">
        <v>71</v>
      </c>
      <c r="AC128" s="6" t="s">
        <v>1108</v>
      </c>
      <c r="AD128" s="6" t="s">
        <v>1138</v>
      </c>
      <c r="AE128" s="6" t="s">
        <v>74</v>
      </c>
    </row>
    <row r="129" customFormat="false" ht="23.85" hidden="false" customHeight="false" outlineLevel="0" collapsed="false">
      <c r="A129" s="6" t="s">
        <v>1139</v>
      </c>
      <c r="B129" s="4" t="s">
        <v>1140</v>
      </c>
      <c r="C129" s="6" t="s">
        <v>1141</v>
      </c>
      <c r="D129" s="7" t="s">
        <v>60</v>
      </c>
      <c r="E129" s="6" t="s">
        <v>61</v>
      </c>
      <c r="F129" s="6" t="s">
        <v>79</v>
      </c>
      <c r="G129" s="6" t="s">
        <v>1142</v>
      </c>
      <c r="H129" s="4" t="s">
        <v>1143</v>
      </c>
      <c r="I129" s="8" t="s">
        <v>1144</v>
      </c>
      <c r="J129" s="7" t="s">
        <v>1145</v>
      </c>
      <c r="K129" s="9" t="str">
        <f aca="false">LEFT(J129,3)</f>
        <v>T45</v>
      </c>
      <c r="L129" s="7"/>
      <c r="M129" s="9" t="str">
        <f aca="false">IF(L129="",K129,K129&amp;"; "&amp;L129)</f>
        <v>T45</v>
      </c>
      <c r="N129" s="9" t="str">
        <f aca="false">INDEX('Taxonomía temas'!$D$2:$D$54,MATCH(K129,'Taxonomía temas'!$A$2:$A$54,0))</f>
        <v>Estado, gobierno y derechos</v>
      </c>
      <c r="O129" s="9" t="n">
        <f aca="false">INDEX('Taxonomía temas'!$F$2:$F$54,MATCH(K129,'Taxonomía temas'!$A$2:$A$54,0))</f>
        <v>16</v>
      </c>
      <c r="P129" s="7"/>
      <c r="Q129" s="7" t="s">
        <v>94</v>
      </c>
      <c r="R129" s="7" t="s">
        <v>224</v>
      </c>
      <c r="S129" s="7" t="s">
        <v>68</v>
      </c>
      <c r="T129" s="7" t="s">
        <v>224</v>
      </c>
      <c r="U129" s="7" t="s">
        <v>68</v>
      </c>
      <c r="V129" s="7" t="s">
        <v>1146</v>
      </c>
      <c r="W129" s="9" t="str">
        <f aca="false">IF(V129="","No","Sí")</f>
        <v>Sí</v>
      </c>
      <c r="X129" s="6" t="s">
        <v>1147</v>
      </c>
      <c r="Y129" s="6"/>
      <c r="Z129" s="6" t="s">
        <v>1148</v>
      </c>
      <c r="AA129" s="4" t="s">
        <v>1149</v>
      </c>
      <c r="AB129" s="6" t="s">
        <v>71</v>
      </c>
      <c r="AC129" s="6" t="s">
        <v>1108</v>
      </c>
      <c r="AD129" s="6" t="s">
        <v>1150</v>
      </c>
      <c r="AE129" s="6" t="s">
        <v>74</v>
      </c>
    </row>
    <row r="130" customFormat="false" ht="23.85" hidden="false" customHeight="false" outlineLevel="0" collapsed="false">
      <c r="A130" s="6" t="s">
        <v>1151</v>
      </c>
      <c r="B130" s="4" t="s">
        <v>1152</v>
      </c>
      <c r="C130" s="6" t="s">
        <v>285</v>
      </c>
      <c r="D130" s="7" t="s">
        <v>286</v>
      </c>
      <c r="E130" s="6" t="s">
        <v>287</v>
      </c>
      <c r="F130" s="6" t="s">
        <v>212</v>
      </c>
      <c r="G130" s="6" t="s">
        <v>288</v>
      </c>
      <c r="H130" s="4" t="s">
        <v>1153</v>
      </c>
      <c r="I130" s="8" t="s">
        <v>1154</v>
      </c>
      <c r="J130" s="7" t="s">
        <v>1136</v>
      </c>
      <c r="K130" s="9" t="str">
        <f aca="false">LEFT(J130,3)</f>
        <v>T43</v>
      </c>
      <c r="L130" s="7" t="s">
        <v>1095</v>
      </c>
      <c r="M130" s="9" t="str">
        <f aca="false">IF(L130="",K130,K130&amp;"; "&amp;L130)</f>
        <v>T43; T44</v>
      </c>
      <c r="N130" s="9" t="str">
        <f aca="false">INDEX('Taxonomía temas'!$D$2:$D$54,MATCH(K130,'Taxonomía temas'!$A$2:$A$54,0))</f>
        <v>Estado, gobierno y derechos</v>
      </c>
      <c r="O130" s="9" t="n">
        <f aca="false">INDEX('Taxonomía temas'!$F$2:$F$54,MATCH(K130,'Taxonomía temas'!$A$2:$A$54,0))</f>
        <v>16</v>
      </c>
      <c r="P130" s="7" t="s">
        <v>253</v>
      </c>
      <c r="Q130" s="7" t="s">
        <v>177</v>
      </c>
      <c r="R130" s="7" t="s">
        <v>68</v>
      </c>
      <c r="S130" s="7" t="s">
        <v>68</v>
      </c>
      <c r="T130" s="7" t="s">
        <v>68</v>
      </c>
      <c r="U130" s="7" t="s">
        <v>68</v>
      </c>
      <c r="V130" s="7"/>
      <c r="W130" s="9" t="str">
        <f aca="false">IF(V130="","No","Sí")</f>
        <v>No</v>
      </c>
      <c r="X130" s="6"/>
      <c r="Y130" s="6" t="s">
        <v>292</v>
      </c>
      <c r="Z130" s="6" t="s">
        <v>479</v>
      </c>
      <c r="AA130" s="6" t="s">
        <v>1154</v>
      </c>
      <c r="AB130" s="6" t="s">
        <v>71</v>
      </c>
      <c r="AC130" s="6" t="s">
        <v>1108</v>
      </c>
      <c r="AD130" s="6" t="s">
        <v>1155</v>
      </c>
      <c r="AE130" s="6" t="s">
        <v>74</v>
      </c>
    </row>
    <row r="131" customFormat="false" ht="23.85" hidden="false" customHeight="false" outlineLevel="0" collapsed="false">
      <c r="A131" s="6" t="s">
        <v>1156</v>
      </c>
      <c r="B131" s="4" t="s">
        <v>1157</v>
      </c>
      <c r="C131" s="6" t="s">
        <v>1158</v>
      </c>
      <c r="D131" s="7" t="s">
        <v>60</v>
      </c>
      <c r="E131" s="6" t="s">
        <v>61</v>
      </c>
      <c r="F131" s="6" t="s">
        <v>196</v>
      </c>
      <c r="G131" s="6" t="s">
        <v>60</v>
      </c>
      <c r="H131" s="4" t="s">
        <v>1159</v>
      </c>
      <c r="I131" s="8" t="s">
        <v>1160</v>
      </c>
      <c r="J131" s="7" t="s">
        <v>888</v>
      </c>
      <c r="K131" s="9" t="str">
        <f aca="false">LEFT(J131,3)</f>
        <v>T44</v>
      </c>
      <c r="L131" s="7" t="s">
        <v>1161</v>
      </c>
      <c r="M131" s="9" t="str">
        <f aca="false">IF(L131="",K131,K131&amp;"; "&amp;L131)</f>
        <v>T44; T43</v>
      </c>
      <c r="N131" s="9" t="str">
        <f aca="false">INDEX('Taxonomía temas'!$D$2:$D$54,MATCH(K131,'Taxonomía temas'!$A$2:$A$54,0))</f>
        <v>Estado, gobierno y derechos</v>
      </c>
      <c r="O131" s="9" t="n">
        <f aca="false">INDEX('Taxonomía temas'!$F$2:$F$54,MATCH(K131,'Taxonomía temas'!$A$2:$A$54,0))</f>
        <v>16</v>
      </c>
      <c r="P131" s="7"/>
      <c r="Q131" s="7" t="s">
        <v>177</v>
      </c>
      <c r="R131" s="7" t="s">
        <v>68</v>
      </c>
      <c r="S131" s="7" t="s">
        <v>68</v>
      </c>
      <c r="T131" s="7" t="s">
        <v>68</v>
      </c>
      <c r="U131" s="7" t="s">
        <v>68</v>
      </c>
      <c r="V131" s="7"/>
      <c r="W131" s="9" t="str">
        <f aca="false">IF(V131="","No","Sí")</f>
        <v>No</v>
      </c>
      <c r="X131" s="6"/>
      <c r="Y131" s="6"/>
      <c r="Z131" s="6" t="s">
        <v>1162</v>
      </c>
      <c r="AA131" s="4" t="s">
        <v>1163</v>
      </c>
      <c r="AB131" s="6" t="s">
        <v>71</v>
      </c>
      <c r="AC131" s="6" t="s">
        <v>1108</v>
      </c>
      <c r="AD131" s="6" t="s">
        <v>1164</v>
      </c>
      <c r="AE131" s="6" t="s">
        <v>74</v>
      </c>
    </row>
    <row r="132" customFormat="false" ht="23.85" hidden="false" customHeight="false" outlineLevel="0" collapsed="false">
      <c r="A132" s="6" t="s">
        <v>1165</v>
      </c>
      <c r="B132" s="4" t="s">
        <v>1166</v>
      </c>
      <c r="C132" s="6" t="s">
        <v>1133</v>
      </c>
      <c r="D132" s="7" t="s">
        <v>60</v>
      </c>
      <c r="E132" s="6" t="s">
        <v>61</v>
      </c>
      <c r="F132" s="6" t="s">
        <v>242</v>
      </c>
      <c r="G132" s="6" t="s">
        <v>60</v>
      </c>
      <c r="H132" s="4" t="s">
        <v>1167</v>
      </c>
      <c r="I132" s="8" t="s">
        <v>1168</v>
      </c>
      <c r="J132" s="7" t="s">
        <v>1136</v>
      </c>
      <c r="K132" s="9" t="str">
        <f aca="false">LEFT(J132,3)</f>
        <v>T43</v>
      </c>
      <c r="L132" s="7"/>
      <c r="M132" s="9" t="str">
        <f aca="false">IF(L132="",K132,K132&amp;"; "&amp;L132)</f>
        <v>T43</v>
      </c>
      <c r="N132" s="9" t="str">
        <f aca="false">INDEX('Taxonomía temas'!$D$2:$D$54,MATCH(K132,'Taxonomía temas'!$A$2:$A$54,0))</f>
        <v>Estado, gobierno y derechos</v>
      </c>
      <c r="O132" s="9" t="n">
        <f aca="false">INDEX('Taxonomía temas'!$F$2:$F$54,MATCH(K132,'Taxonomía temas'!$A$2:$A$54,0))</f>
        <v>16</v>
      </c>
      <c r="P132" s="7"/>
      <c r="Q132" s="7" t="s">
        <v>67</v>
      </c>
      <c r="R132" s="7" t="s">
        <v>68</v>
      </c>
      <c r="S132" s="7" t="s">
        <v>68</v>
      </c>
      <c r="T132" s="7" t="s">
        <v>68</v>
      </c>
      <c r="U132" s="7" t="s">
        <v>68</v>
      </c>
      <c r="V132" s="7"/>
      <c r="W132" s="9" t="str">
        <f aca="false">IF(V132="","No","Sí")</f>
        <v>No</v>
      </c>
      <c r="X132" s="6"/>
      <c r="Y132" s="6"/>
      <c r="Z132" s="6" t="s">
        <v>1169</v>
      </c>
      <c r="AA132" s="4" t="s">
        <v>1170</v>
      </c>
      <c r="AB132" s="6" t="s">
        <v>71</v>
      </c>
      <c r="AC132" s="6" t="s">
        <v>1108</v>
      </c>
      <c r="AD132" s="6" t="s">
        <v>1171</v>
      </c>
      <c r="AE132" s="6" t="s">
        <v>74</v>
      </c>
    </row>
    <row r="133" customFormat="false" ht="23.85" hidden="false" customHeight="false" outlineLevel="0" collapsed="false">
      <c r="A133" s="6" t="s">
        <v>1172</v>
      </c>
      <c r="B133" s="4" t="s">
        <v>1173</v>
      </c>
      <c r="C133" s="6" t="s">
        <v>1174</v>
      </c>
      <c r="D133" s="7" t="s">
        <v>60</v>
      </c>
      <c r="E133" s="6" t="s">
        <v>61</v>
      </c>
      <c r="F133" s="6" t="s">
        <v>242</v>
      </c>
      <c r="G133" s="6" t="s">
        <v>60</v>
      </c>
      <c r="H133" s="4" t="s">
        <v>1175</v>
      </c>
      <c r="I133" s="8" t="s">
        <v>1176</v>
      </c>
      <c r="J133" s="7" t="s">
        <v>1136</v>
      </c>
      <c r="K133" s="9" t="str">
        <f aca="false">LEFT(J133,3)</f>
        <v>T43</v>
      </c>
      <c r="L133" s="7" t="s">
        <v>166</v>
      </c>
      <c r="M133" s="9" t="str">
        <f aca="false">IF(L133="",K133,K133&amp;"; "&amp;L133)</f>
        <v>T43; T14</v>
      </c>
      <c r="N133" s="9" t="str">
        <f aca="false">INDEX('Taxonomía temas'!$D$2:$D$54,MATCH(K133,'Taxonomía temas'!$A$2:$A$54,0))</f>
        <v>Estado, gobierno y derechos</v>
      </c>
      <c r="O133" s="9" t="n">
        <f aca="false">INDEX('Taxonomía temas'!$F$2:$F$54,MATCH(K133,'Taxonomía temas'!$A$2:$A$54,0))</f>
        <v>16</v>
      </c>
      <c r="P133" s="7" t="s">
        <v>223</v>
      </c>
      <c r="Q133" s="7" t="s">
        <v>67</v>
      </c>
      <c r="R133" s="7" t="s">
        <v>68</v>
      </c>
      <c r="S133" s="7" t="s">
        <v>68</v>
      </c>
      <c r="T133" s="7" t="s">
        <v>68</v>
      </c>
      <c r="U133" s="7" t="s">
        <v>224</v>
      </c>
      <c r="V133" s="7"/>
      <c r="W133" s="9" t="str">
        <f aca="false">IF(V133="","No","Sí")</f>
        <v>No</v>
      </c>
      <c r="X133" s="6" t="s">
        <v>1177</v>
      </c>
      <c r="Y133" s="6"/>
      <c r="Z133" s="6" t="s">
        <v>1178</v>
      </c>
      <c r="AA133" s="4" t="s">
        <v>1179</v>
      </c>
      <c r="AB133" s="6" t="s">
        <v>71</v>
      </c>
      <c r="AC133" s="6" t="s">
        <v>1108</v>
      </c>
      <c r="AD133" s="6" t="s">
        <v>1180</v>
      </c>
      <c r="AE133" s="6" t="s">
        <v>74</v>
      </c>
    </row>
    <row r="134" customFormat="false" ht="23.85" hidden="false" customHeight="false" outlineLevel="0" collapsed="false">
      <c r="A134" s="6" t="s">
        <v>1181</v>
      </c>
      <c r="B134" s="4" t="s">
        <v>1182</v>
      </c>
      <c r="C134" s="6" t="s">
        <v>285</v>
      </c>
      <c r="D134" s="7" t="s">
        <v>286</v>
      </c>
      <c r="E134" s="6" t="s">
        <v>287</v>
      </c>
      <c r="F134" s="6" t="s">
        <v>212</v>
      </c>
      <c r="G134" s="6" t="s">
        <v>288</v>
      </c>
      <c r="H134" s="4" t="s">
        <v>1183</v>
      </c>
      <c r="I134" s="8" t="s">
        <v>1184</v>
      </c>
      <c r="J134" s="7" t="s">
        <v>1136</v>
      </c>
      <c r="K134" s="9" t="str">
        <f aca="false">LEFT(J134,3)</f>
        <v>T43</v>
      </c>
      <c r="L134" s="7" t="s">
        <v>881</v>
      </c>
      <c r="M134" s="9" t="str">
        <f aca="false">IF(L134="",K134,K134&amp;"; "&amp;L134)</f>
        <v>T43; T02</v>
      </c>
      <c r="N134" s="9" t="str">
        <f aca="false">INDEX('Taxonomía temas'!$D$2:$D$54,MATCH(K134,'Taxonomía temas'!$A$2:$A$54,0))</f>
        <v>Estado, gobierno y derechos</v>
      </c>
      <c r="O134" s="9" t="n">
        <f aca="false">INDEX('Taxonomía temas'!$F$2:$F$54,MATCH(K134,'Taxonomía temas'!$A$2:$A$54,0))</f>
        <v>16</v>
      </c>
      <c r="P134" s="7" t="s">
        <v>253</v>
      </c>
      <c r="Q134" s="7" t="s">
        <v>177</v>
      </c>
      <c r="R134" s="7" t="s">
        <v>68</v>
      </c>
      <c r="S134" s="7" t="s">
        <v>68</v>
      </c>
      <c r="T134" s="7" t="s">
        <v>68</v>
      </c>
      <c r="U134" s="7" t="s">
        <v>68</v>
      </c>
      <c r="V134" s="7"/>
      <c r="W134" s="9" t="str">
        <f aca="false">IF(V134="","No","Sí")</f>
        <v>No</v>
      </c>
      <c r="X134" s="6"/>
      <c r="Y134" s="6" t="s">
        <v>292</v>
      </c>
      <c r="Z134" s="6" t="s">
        <v>1185</v>
      </c>
      <c r="AA134" s="6" t="s">
        <v>1184</v>
      </c>
      <c r="AB134" s="6" t="s">
        <v>71</v>
      </c>
      <c r="AC134" s="6" t="s">
        <v>1108</v>
      </c>
      <c r="AD134" s="6" t="s">
        <v>1186</v>
      </c>
      <c r="AE134" s="6" t="s">
        <v>74</v>
      </c>
    </row>
    <row r="135" customFormat="false" ht="23.85" hidden="false" customHeight="false" outlineLevel="0" collapsed="false">
      <c r="A135" s="6" t="s">
        <v>1187</v>
      </c>
      <c r="B135" s="4" t="s">
        <v>1188</v>
      </c>
      <c r="C135" s="6" t="s">
        <v>839</v>
      </c>
      <c r="D135" s="7" t="s">
        <v>60</v>
      </c>
      <c r="E135" s="6" t="s">
        <v>61</v>
      </c>
      <c r="F135" s="6" t="s">
        <v>406</v>
      </c>
      <c r="G135" s="6" t="s">
        <v>60</v>
      </c>
      <c r="H135" s="4" t="s">
        <v>1189</v>
      </c>
      <c r="I135" s="8" t="s">
        <v>1190</v>
      </c>
      <c r="J135" s="7" t="s">
        <v>910</v>
      </c>
      <c r="K135" s="9" t="str">
        <f aca="false">LEFT(J135,3)</f>
        <v>T49</v>
      </c>
      <c r="L135" s="7"/>
      <c r="M135" s="9" t="str">
        <f aca="false">IF(L135="",K135,K135&amp;"; "&amp;L135)</f>
        <v>T49</v>
      </c>
      <c r="N135" s="9" t="str">
        <f aca="false">INDEX('Taxonomía temas'!$D$2:$D$54,MATCH(K135,'Taxonomía temas'!$A$2:$A$54,0))</f>
        <v>Estado, gobierno y derechos</v>
      </c>
      <c r="O135" s="9" t="n">
        <f aca="false">INDEX('Taxonomía temas'!$F$2:$F$54,MATCH(K135,'Taxonomía temas'!$A$2:$A$54,0))</f>
        <v>17</v>
      </c>
      <c r="P135" s="7"/>
      <c r="Q135" s="7" t="s">
        <v>94</v>
      </c>
      <c r="R135" s="7" t="s">
        <v>68</v>
      </c>
      <c r="S135" s="7" t="s">
        <v>68</v>
      </c>
      <c r="T135" s="7" t="s">
        <v>68</v>
      </c>
      <c r="U135" s="7" t="s">
        <v>68</v>
      </c>
      <c r="V135" s="7"/>
      <c r="W135" s="9" t="str">
        <f aca="false">IF(V135="","No","Sí")</f>
        <v>No</v>
      </c>
      <c r="X135" s="6"/>
      <c r="Y135" s="6"/>
      <c r="Z135" s="6" t="s">
        <v>1191</v>
      </c>
      <c r="AA135" s="6" t="s">
        <v>1190</v>
      </c>
      <c r="AB135" s="6" t="s">
        <v>71</v>
      </c>
      <c r="AC135" s="6" t="s">
        <v>1108</v>
      </c>
      <c r="AD135" s="6" t="s">
        <v>1192</v>
      </c>
      <c r="AE135" s="6" t="s">
        <v>74</v>
      </c>
    </row>
    <row r="136" customFormat="false" ht="23.85" hidden="false" customHeight="false" outlineLevel="0" collapsed="false">
      <c r="A136" s="6" t="s">
        <v>1193</v>
      </c>
      <c r="B136" s="4" t="s">
        <v>1194</v>
      </c>
      <c r="C136" s="6" t="s">
        <v>839</v>
      </c>
      <c r="D136" s="7" t="s">
        <v>60</v>
      </c>
      <c r="E136" s="6" t="s">
        <v>61</v>
      </c>
      <c r="F136" s="6" t="s">
        <v>702</v>
      </c>
      <c r="G136" s="6" t="s">
        <v>840</v>
      </c>
      <c r="H136" s="4" t="s">
        <v>1195</v>
      </c>
      <c r="I136" s="8" t="s">
        <v>1196</v>
      </c>
      <c r="J136" s="7" t="s">
        <v>102</v>
      </c>
      <c r="K136" s="9" t="str">
        <f aca="false">LEFT(J136,3)</f>
        <v>T02</v>
      </c>
      <c r="L136" s="7" t="s">
        <v>1161</v>
      </c>
      <c r="M136" s="9" t="str">
        <f aca="false">IF(L136="",K136,K136&amp;"; "&amp;L136)</f>
        <v>T02; T43</v>
      </c>
      <c r="N136" s="9" t="str">
        <f aca="false">INDEX('Taxonomía temas'!$D$2:$D$54,MATCH(K136,'Taxonomía temas'!$A$2:$A$54,0))</f>
        <v>Economía y producción</v>
      </c>
      <c r="O136" s="9" t="n">
        <f aca="false">INDEX('Taxonomía temas'!$F$2:$F$54,MATCH(K136,'Taxonomía temas'!$A$2:$A$54,0))</f>
        <v>17</v>
      </c>
      <c r="P136" s="7"/>
      <c r="Q136" s="7" t="s">
        <v>326</v>
      </c>
      <c r="R136" s="7" t="s">
        <v>68</v>
      </c>
      <c r="S136" s="7" t="s">
        <v>68</v>
      </c>
      <c r="T136" s="7" t="s">
        <v>68</v>
      </c>
      <c r="U136" s="7" t="s">
        <v>68</v>
      </c>
      <c r="V136" s="7"/>
      <c r="W136" s="9" t="str">
        <f aca="false">IF(V136="","No","Sí")</f>
        <v>No</v>
      </c>
      <c r="X136" s="6"/>
      <c r="Y136" s="6"/>
      <c r="Z136" s="6" t="s">
        <v>1197</v>
      </c>
      <c r="AA136" s="4" t="s">
        <v>1198</v>
      </c>
      <c r="AB136" s="6" t="s">
        <v>71</v>
      </c>
      <c r="AC136" s="6" t="s">
        <v>1108</v>
      </c>
      <c r="AD136" s="6" t="s">
        <v>1199</v>
      </c>
      <c r="AE136" s="6" t="s">
        <v>74</v>
      </c>
    </row>
    <row r="137" customFormat="false" ht="23.85" hidden="false" customHeight="false" outlineLevel="0" collapsed="false">
      <c r="A137" s="6" t="s">
        <v>1200</v>
      </c>
      <c r="B137" s="4" t="s">
        <v>1201</v>
      </c>
      <c r="C137" s="6" t="s">
        <v>1101</v>
      </c>
      <c r="D137" s="7" t="s">
        <v>60</v>
      </c>
      <c r="E137" s="6" t="s">
        <v>61</v>
      </c>
      <c r="F137" s="6" t="s">
        <v>79</v>
      </c>
      <c r="G137" s="6" t="s">
        <v>60</v>
      </c>
      <c r="H137" s="4" t="s">
        <v>1202</v>
      </c>
      <c r="I137" s="8" t="s">
        <v>1107</v>
      </c>
      <c r="J137" s="7" t="s">
        <v>910</v>
      </c>
      <c r="K137" s="9" t="str">
        <f aca="false">LEFT(J137,3)</f>
        <v>T49</v>
      </c>
      <c r="L137" s="7" t="s">
        <v>1203</v>
      </c>
      <c r="M137" s="9" t="str">
        <f aca="false">IF(L137="",K137,K137&amp;"; "&amp;L137)</f>
        <v>T49; T25; T14; T01; T17</v>
      </c>
      <c r="N137" s="9" t="str">
        <f aca="false">INDEX('Taxonomía temas'!$D$2:$D$54,MATCH(K137,'Taxonomía temas'!$A$2:$A$54,0))</f>
        <v>Estado, gobierno y derechos</v>
      </c>
      <c r="O137" s="9" t="n">
        <f aca="false">INDEX('Taxonomía temas'!$F$2:$F$54,MATCH(K137,'Taxonomía temas'!$A$2:$A$54,0))</f>
        <v>17</v>
      </c>
      <c r="P137" s="7"/>
      <c r="Q137" s="7" t="s">
        <v>94</v>
      </c>
      <c r="R137" s="7" t="s">
        <v>68</v>
      </c>
      <c r="S137" s="7" t="s">
        <v>68</v>
      </c>
      <c r="T137" s="7" t="s">
        <v>68</v>
      </c>
      <c r="U137" s="7" t="s">
        <v>68</v>
      </c>
      <c r="V137" s="7" t="s">
        <v>1204</v>
      </c>
      <c r="W137" s="9" t="str">
        <f aca="false">IF(V137="","No","Sí")</f>
        <v>Sí</v>
      </c>
      <c r="X137" s="6" t="s">
        <v>189</v>
      </c>
      <c r="Y137" s="6"/>
      <c r="Z137" s="6" t="s">
        <v>1205</v>
      </c>
      <c r="AA137" s="6" t="s">
        <v>1107</v>
      </c>
      <c r="AB137" s="6" t="s">
        <v>71</v>
      </c>
      <c r="AC137" s="6" t="s">
        <v>1108</v>
      </c>
      <c r="AD137" s="6" t="s">
        <v>1206</v>
      </c>
      <c r="AE137" s="6" t="s">
        <v>74</v>
      </c>
    </row>
    <row r="138" customFormat="false" ht="23.85" hidden="false" customHeight="false" outlineLevel="0" collapsed="false">
      <c r="A138" s="6" t="s">
        <v>1207</v>
      </c>
      <c r="B138" s="4" t="s">
        <v>1208</v>
      </c>
      <c r="C138" s="6" t="s">
        <v>1209</v>
      </c>
      <c r="D138" s="7" t="s">
        <v>60</v>
      </c>
      <c r="E138" s="6" t="s">
        <v>259</v>
      </c>
      <c r="F138" s="6" t="s">
        <v>323</v>
      </c>
      <c r="G138" s="6" t="s">
        <v>840</v>
      </c>
      <c r="H138" s="4" t="s">
        <v>1210</v>
      </c>
      <c r="I138" s="8" t="s">
        <v>1211</v>
      </c>
      <c r="J138" s="7" t="s">
        <v>398</v>
      </c>
      <c r="K138" s="9" t="str">
        <f aca="false">LEFT(J138,3)</f>
        <v>T25</v>
      </c>
      <c r="L138" s="7" t="s">
        <v>1095</v>
      </c>
      <c r="M138" s="9" t="str">
        <f aca="false">IF(L138="",K138,K138&amp;"; "&amp;L138)</f>
        <v>T25; T44</v>
      </c>
      <c r="N138" s="9" t="str">
        <f aca="false">INDEX('Taxonomía temas'!$D$2:$D$54,MATCH(K138,'Taxonomía temas'!$A$2:$A$54,0))</f>
        <v>Salud y población</v>
      </c>
      <c r="O138" s="9" t="n">
        <f aca="false">INDEX('Taxonomía temas'!$F$2:$F$54,MATCH(K138,'Taxonomía temas'!$A$2:$A$54,0))</f>
        <v>17</v>
      </c>
      <c r="P138" s="7"/>
      <c r="Q138" s="7" t="s">
        <v>326</v>
      </c>
      <c r="R138" s="7" t="s">
        <v>68</v>
      </c>
      <c r="S138" s="7" t="s">
        <v>68</v>
      </c>
      <c r="T138" s="7" t="s">
        <v>224</v>
      </c>
      <c r="U138" s="7" t="s">
        <v>68</v>
      </c>
      <c r="V138" s="7" t="s">
        <v>641</v>
      </c>
      <c r="W138" s="9" t="str">
        <f aca="false">IF(V138="","No","Sí")</f>
        <v>Sí</v>
      </c>
      <c r="X138" s="6"/>
      <c r="Y138" s="6"/>
      <c r="Z138" s="6" t="s">
        <v>1212</v>
      </c>
      <c r="AA138" s="6" t="s">
        <v>1211</v>
      </c>
      <c r="AB138" s="6" t="s">
        <v>71</v>
      </c>
      <c r="AC138" s="6" t="s">
        <v>1108</v>
      </c>
      <c r="AD138" s="6" t="s">
        <v>1213</v>
      </c>
      <c r="AE138" s="6" t="s">
        <v>74</v>
      </c>
    </row>
    <row r="139" customFormat="false" ht="23.85" hidden="false" customHeight="false" outlineLevel="0" collapsed="false">
      <c r="A139" s="6" t="s">
        <v>1214</v>
      </c>
      <c r="B139" s="4" t="s">
        <v>1215</v>
      </c>
      <c r="C139" s="6" t="s">
        <v>1101</v>
      </c>
      <c r="D139" s="7" t="s">
        <v>60</v>
      </c>
      <c r="E139" s="6" t="s">
        <v>61</v>
      </c>
      <c r="F139" s="6" t="s">
        <v>1070</v>
      </c>
      <c r="G139" s="6" t="s">
        <v>60</v>
      </c>
      <c r="H139" s="4" t="s">
        <v>1216</v>
      </c>
      <c r="I139" s="8" t="s">
        <v>1217</v>
      </c>
      <c r="J139" s="7" t="s">
        <v>910</v>
      </c>
      <c r="K139" s="9" t="str">
        <f aca="false">LEFT(J139,3)</f>
        <v>T49</v>
      </c>
      <c r="L139" s="7" t="s">
        <v>1218</v>
      </c>
      <c r="M139" s="9" t="str">
        <f aca="false">IF(L139="",K139,K139&amp;"; "&amp;L139)</f>
        <v>T49; T14; T07; T09; T25</v>
      </c>
      <c r="N139" s="9" t="str">
        <f aca="false">INDEX('Taxonomía temas'!$D$2:$D$54,MATCH(K139,'Taxonomía temas'!$A$2:$A$54,0))</f>
        <v>Estado, gobierno y derechos</v>
      </c>
      <c r="O139" s="9" t="n">
        <f aca="false">INDEX('Taxonomía temas'!$F$2:$F$54,MATCH(K139,'Taxonomía temas'!$A$2:$A$54,0))</f>
        <v>17</v>
      </c>
      <c r="P139" s="7"/>
      <c r="Q139" s="7" t="s">
        <v>177</v>
      </c>
      <c r="R139" s="7" t="s">
        <v>68</v>
      </c>
      <c r="S139" s="7" t="s">
        <v>68</v>
      </c>
      <c r="T139" s="7" t="s">
        <v>68</v>
      </c>
      <c r="U139" s="7" t="s">
        <v>68</v>
      </c>
      <c r="V139" s="7"/>
      <c r="W139" s="9" t="str">
        <f aca="false">IF(V139="","No","Sí")</f>
        <v>No</v>
      </c>
      <c r="X139" s="6"/>
      <c r="Y139" s="6"/>
      <c r="Z139" s="6" t="s">
        <v>1219</v>
      </c>
      <c r="AA139" s="6" t="s">
        <v>1217</v>
      </c>
      <c r="AB139" s="6" t="s">
        <v>71</v>
      </c>
      <c r="AC139" s="6" t="s">
        <v>1108</v>
      </c>
      <c r="AD139" s="6" t="s">
        <v>1220</v>
      </c>
      <c r="AE139" s="6" t="s">
        <v>74</v>
      </c>
    </row>
    <row r="140" customFormat="false" ht="23.85" hidden="false" customHeight="false" outlineLevel="0" collapsed="false">
      <c r="A140" s="6" t="s">
        <v>1221</v>
      </c>
      <c r="B140" s="4" t="s">
        <v>1222</v>
      </c>
      <c r="C140" s="6" t="s">
        <v>1223</v>
      </c>
      <c r="D140" s="7" t="s">
        <v>60</v>
      </c>
      <c r="E140" s="6" t="s">
        <v>61</v>
      </c>
      <c r="F140" s="6" t="s">
        <v>174</v>
      </c>
      <c r="G140" s="6" t="s">
        <v>60</v>
      </c>
      <c r="H140" s="4" t="s">
        <v>1224</v>
      </c>
      <c r="I140" s="8" t="s">
        <v>1225</v>
      </c>
      <c r="J140" s="7" t="s">
        <v>1226</v>
      </c>
      <c r="K140" s="9" t="str">
        <f aca="false">LEFT(J140,3)</f>
        <v>T47</v>
      </c>
      <c r="L140" s="7"/>
      <c r="M140" s="9" t="str">
        <f aca="false">IF(L140="",K140,K140&amp;"; "&amp;L140)</f>
        <v>T47</v>
      </c>
      <c r="N140" s="9" t="str">
        <f aca="false">INDEX('Taxonomía temas'!$D$2:$D$54,MATCH(K140,'Taxonomía temas'!$A$2:$A$54,0))</f>
        <v>Estado, gobierno y derechos</v>
      </c>
      <c r="O140" s="9" t="n">
        <f aca="false">INDEX('Taxonomía temas'!$F$2:$F$54,MATCH(K140,'Taxonomía temas'!$A$2:$A$54,0))</f>
        <v>16</v>
      </c>
      <c r="P140" s="7"/>
      <c r="Q140" s="7" t="s">
        <v>177</v>
      </c>
      <c r="R140" s="7" t="s">
        <v>68</v>
      </c>
      <c r="S140" s="7" t="s">
        <v>68</v>
      </c>
      <c r="T140" s="7" t="s">
        <v>68</v>
      </c>
      <c r="U140" s="7" t="s">
        <v>68</v>
      </c>
      <c r="V140" s="7"/>
      <c r="W140" s="9" t="str">
        <f aca="false">IF(V140="","No","Sí")</f>
        <v>No</v>
      </c>
      <c r="X140" s="6"/>
      <c r="Y140" s="6"/>
      <c r="Z140" s="6" t="s">
        <v>1227</v>
      </c>
      <c r="AA140" s="6" t="s">
        <v>1225</v>
      </c>
      <c r="AB140" s="6" t="s">
        <v>71</v>
      </c>
      <c r="AC140" s="6" t="s">
        <v>1228</v>
      </c>
      <c r="AD140" s="6" t="s">
        <v>1229</v>
      </c>
      <c r="AE140" s="6" t="s">
        <v>74</v>
      </c>
    </row>
    <row r="141" customFormat="false" ht="15" hidden="false" customHeight="false" outlineLevel="0" collapsed="false">
      <c r="A141" s="6" t="s">
        <v>1230</v>
      </c>
      <c r="B141" s="4" t="s">
        <v>1231</v>
      </c>
      <c r="C141" s="6" t="s">
        <v>1232</v>
      </c>
      <c r="D141" s="7" t="s">
        <v>60</v>
      </c>
      <c r="E141" s="6" t="s">
        <v>61</v>
      </c>
      <c r="F141" s="6" t="s">
        <v>79</v>
      </c>
      <c r="G141" s="6" t="s">
        <v>60</v>
      </c>
      <c r="H141" s="4" t="s">
        <v>1233</v>
      </c>
      <c r="I141" s="8" t="s">
        <v>1234</v>
      </c>
      <c r="J141" s="7" t="s">
        <v>1226</v>
      </c>
      <c r="K141" s="9" t="str">
        <f aca="false">LEFT(J141,3)</f>
        <v>T47</v>
      </c>
      <c r="L141" s="7"/>
      <c r="M141" s="9" t="str">
        <f aca="false">IF(L141="",K141,K141&amp;"; "&amp;L141)</f>
        <v>T47</v>
      </c>
      <c r="N141" s="9" t="str">
        <f aca="false">INDEX('Taxonomía temas'!$D$2:$D$54,MATCH(K141,'Taxonomía temas'!$A$2:$A$54,0))</f>
        <v>Estado, gobierno y derechos</v>
      </c>
      <c r="O141" s="9" t="n">
        <f aca="false">INDEX('Taxonomía temas'!$F$2:$F$54,MATCH(K141,'Taxonomía temas'!$A$2:$A$54,0))</f>
        <v>16</v>
      </c>
      <c r="P141" s="7"/>
      <c r="Q141" s="7" t="s">
        <v>94</v>
      </c>
      <c r="R141" s="7" t="s">
        <v>68</v>
      </c>
      <c r="S141" s="7" t="s">
        <v>68</v>
      </c>
      <c r="T141" s="7" t="s">
        <v>68</v>
      </c>
      <c r="U141" s="7" t="s">
        <v>68</v>
      </c>
      <c r="V141" s="7"/>
      <c r="W141" s="9" t="str">
        <f aca="false">IF(V141="","No","Sí")</f>
        <v>No</v>
      </c>
      <c r="X141" s="6"/>
      <c r="Y141" s="6"/>
      <c r="Z141" s="6" t="s">
        <v>1235</v>
      </c>
      <c r="AA141" s="6" t="s">
        <v>1234</v>
      </c>
      <c r="AB141" s="6" t="s">
        <v>71</v>
      </c>
      <c r="AC141" s="6" t="s">
        <v>1228</v>
      </c>
      <c r="AD141" s="6" t="s">
        <v>1236</v>
      </c>
      <c r="AE141" s="6" t="s">
        <v>74</v>
      </c>
    </row>
    <row r="142" customFormat="false" ht="23.85" hidden="false" customHeight="false" outlineLevel="0" collapsed="false">
      <c r="A142" s="6" t="s">
        <v>1237</v>
      </c>
      <c r="B142" s="4" t="s">
        <v>1238</v>
      </c>
      <c r="C142" s="6" t="s">
        <v>435</v>
      </c>
      <c r="D142" s="7" t="s">
        <v>60</v>
      </c>
      <c r="E142" s="6" t="s">
        <v>61</v>
      </c>
      <c r="F142" s="6" t="s">
        <v>242</v>
      </c>
      <c r="G142" s="6" t="s">
        <v>60</v>
      </c>
      <c r="H142" s="4" t="s">
        <v>1239</v>
      </c>
      <c r="I142" s="8" t="s">
        <v>1240</v>
      </c>
      <c r="J142" s="7" t="s">
        <v>438</v>
      </c>
      <c r="K142" s="9" t="str">
        <f aca="false">LEFT(J142,3)</f>
        <v>T48</v>
      </c>
      <c r="L142" s="7"/>
      <c r="M142" s="9" t="str">
        <f aca="false">IF(L142="",K142,K142&amp;"; "&amp;L142)</f>
        <v>T48</v>
      </c>
      <c r="N142" s="9" t="str">
        <f aca="false">INDEX('Taxonomía temas'!$D$2:$D$54,MATCH(K142,'Taxonomía temas'!$A$2:$A$54,0))</f>
        <v>Estado, gobierno y derechos</v>
      </c>
      <c r="O142" s="9" t="n">
        <f aca="false">INDEX('Taxonomía temas'!$F$2:$F$54,MATCH(K142,'Taxonomía temas'!$A$2:$A$54,0))</f>
        <v>16</v>
      </c>
      <c r="P142" s="7" t="s">
        <v>440</v>
      </c>
      <c r="Q142" s="7" t="s">
        <v>67</v>
      </c>
      <c r="R142" s="7" t="s">
        <v>68</v>
      </c>
      <c r="S142" s="7" t="s">
        <v>68</v>
      </c>
      <c r="T142" s="7" t="s">
        <v>68</v>
      </c>
      <c r="U142" s="7" t="s">
        <v>68</v>
      </c>
      <c r="V142" s="7"/>
      <c r="W142" s="9" t="str">
        <f aca="false">IF(V142="","No","Sí")</f>
        <v>No</v>
      </c>
      <c r="X142" s="6"/>
      <c r="Y142" s="6"/>
      <c r="Z142" s="6" t="s">
        <v>1241</v>
      </c>
      <c r="AA142" s="6" t="s">
        <v>1240</v>
      </c>
      <c r="AB142" s="6" t="s">
        <v>71</v>
      </c>
      <c r="AC142" s="6" t="s">
        <v>1228</v>
      </c>
      <c r="AD142" s="6" t="s">
        <v>1242</v>
      </c>
      <c r="AE142" s="6" t="s">
        <v>74</v>
      </c>
    </row>
    <row r="143" customFormat="false" ht="15" hidden="false" customHeight="false" outlineLevel="0" collapsed="false">
      <c r="A143" s="6" t="s">
        <v>1243</v>
      </c>
      <c r="B143" s="4" t="s">
        <v>1244</v>
      </c>
      <c r="C143" s="6" t="s">
        <v>1245</v>
      </c>
      <c r="D143" s="7" t="s">
        <v>60</v>
      </c>
      <c r="E143" s="6" t="s">
        <v>61</v>
      </c>
      <c r="F143" s="6" t="s">
        <v>344</v>
      </c>
      <c r="G143" s="6" t="s">
        <v>60</v>
      </c>
      <c r="H143" s="4" t="s">
        <v>1246</v>
      </c>
      <c r="I143" s="8" t="s">
        <v>1247</v>
      </c>
      <c r="J143" s="7" t="s">
        <v>904</v>
      </c>
      <c r="K143" s="9" t="str">
        <f aca="false">LEFT(J143,3)</f>
        <v>T42</v>
      </c>
      <c r="L143" s="7" t="s">
        <v>695</v>
      </c>
      <c r="M143" s="9" t="str">
        <f aca="false">IF(L143="",K143,K143&amp;"; "&amp;L143)</f>
        <v>T42; T41</v>
      </c>
      <c r="N143" s="9" t="str">
        <f aca="false">INDEX('Taxonomía temas'!$D$2:$D$54,MATCH(K143,'Taxonomía temas'!$A$2:$A$54,0))</f>
        <v>Territorio, vivienda y movilidad</v>
      </c>
      <c r="O143" s="9" t="n">
        <f aca="false">INDEX('Taxonomía temas'!$F$2:$F$54,MATCH(K143,'Taxonomía temas'!$A$2:$A$54,0))</f>
        <v>11</v>
      </c>
      <c r="P143" s="7"/>
      <c r="Q143" s="7" t="s">
        <v>177</v>
      </c>
      <c r="R143" s="7" t="s">
        <v>68</v>
      </c>
      <c r="S143" s="7" t="s">
        <v>68</v>
      </c>
      <c r="T143" s="7" t="s">
        <v>224</v>
      </c>
      <c r="U143" s="7" t="s">
        <v>68</v>
      </c>
      <c r="V143" s="7" t="s">
        <v>1248</v>
      </c>
      <c r="W143" s="9" t="str">
        <f aca="false">IF(V143="","No","Sí")</f>
        <v>Sí</v>
      </c>
      <c r="X143" s="6"/>
      <c r="Y143" s="6"/>
      <c r="Z143" s="6" t="s">
        <v>1249</v>
      </c>
      <c r="AA143" s="6" t="s">
        <v>1247</v>
      </c>
      <c r="AB143" s="6" t="s">
        <v>71</v>
      </c>
      <c r="AC143" s="6" t="s">
        <v>1228</v>
      </c>
      <c r="AD143" s="6" t="s">
        <v>1250</v>
      </c>
      <c r="AE143" s="6" t="s">
        <v>74</v>
      </c>
    </row>
    <row r="144" customFormat="false" ht="23.85" hidden="false" customHeight="false" outlineLevel="0" collapsed="false">
      <c r="A144" s="6" t="s">
        <v>1251</v>
      </c>
      <c r="B144" s="4" t="s">
        <v>1252</v>
      </c>
      <c r="C144" s="6" t="s">
        <v>1253</v>
      </c>
      <c r="D144" s="7" t="s">
        <v>60</v>
      </c>
      <c r="E144" s="6" t="s">
        <v>61</v>
      </c>
      <c r="F144" s="6" t="s">
        <v>196</v>
      </c>
      <c r="G144" s="6" t="s">
        <v>60</v>
      </c>
      <c r="H144" s="4" t="s">
        <v>1254</v>
      </c>
      <c r="I144" s="8" t="s">
        <v>1255</v>
      </c>
      <c r="J144" s="7" t="s">
        <v>438</v>
      </c>
      <c r="K144" s="9" t="str">
        <f aca="false">LEFT(J144,3)</f>
        <v>T48</v>
      </c>
      <c r="L144" s="7"/>
      <c r="M144" s="9" t="str">
        <f aca="false">IF(L144="",K144,K144&amp;"; "&amp;L144)</f>
        <v>T48</v>
      </c>
      <c r="N144" s="9" t="str">
        <f aca="false">INDEX('Taxonomía temas'!$D$2:$D$54,MATCH(K144,'Taxonomía temas'!$A$2:$A$54,0))</f>
        <v>Estado, gobierno y derechos</v>
      </c>
      <c r="O144" s="9" t="n">
        <f aca="false">INDEX('Taxonomía temas'!$F$2:$F$54,MATCH(K144,'Taxonomía temas'!$A$2:$A$54,0))</f>
        <v>16</v>
      </c>
      <c r="P144" s="7" t="s">
        <v>440</v>
      </c>
      <c r="Q144" s="7" t="s">
        <v>177</v>
      </c>
      <c r="R144" s="7" t="s">
        <v>68</v>
      </c>
      <c r="S144" s="7" t="s">
        <v>68</v>
      </c>
      <c r="T144" s="7" t="s">
        <v>68</v>
      </c>
      <c r="U144" s="7" t="s">
        <v>68</v>
      </c>
      <c r="V144" s="7"/>
      <c r="W144" s="9" t="str">
        <f aca="false">IF(V144="","No","Sí")</f>
        <v>No</v>
      </c>
      <c r="X144" s="6"/>
      <c r="Y144" s="6"/>
      <c r="Z144" s="6" t="s">
        <v>1256</v>
      </c>
      <c r="AA144" s="6" t="s">
        <v>1257</v>
      </c>
      <c r="AB144" s="6" t="s">
        <v>71</v>
      </c>
      <c r="AC144" s="6" t="s">
        <v>1228</v>
      </c>
      <c r="AD144" s="6" t="s">
        <v>1258</v>
      </c>
      <c r="AE144" s="6" t="s">
        <v>74</v>
      </c>
    </row>
    <row r="145" customFormat="false" ht="23.85" hidden="false" customHeight="false" outlineLevel="0" collapsed="false">
      <c r="A145" s="6" t="s">
        <v>1259</v>
      </c>
      <c r="B145" s="4" t="s">
        <v>1260</v>
      </c>
      <c r="C145" s="6" t="s">
        <v>1261</v>
      </c>
      <c r="D145" s="7" t="s">
        <v>60</v>
      </c>
      <c r="E145" s="6" t="s">
        <v>61</v>
      </c>
      <c r="F145" s="6" t="s">
        <v>174</v>
      </c>
      <c r="G145" s="6" t="s">
        <v>60</v>
      </c>
      <c r="H145" s="4" t="s">
        <v>1262</v>
      </c>
      <c r="I145" s="8" t="s">
        <v>1263</v>
      </c>
      <c r="J145" s="7" t="s">
        <v>1226</v>
      </c>
      <c r="K145" s="9" t="str">
        <f aca="false">LEFT(J145,3)</f>
        <v>T47</v>
      </c>
      <c r="L145" s="7" t="s">
        <v>495</v>
      </c>
      <c r="M145" s="9" t="str">
        <f aca="false">IF(L145="",K145,K145&amp;"; "&amp;L145)</f>
        <v>T47; T46</v>
      </c>
      <c r="N145" s="9" t="str">
        <f aca="false">INDEX('Taxonomía temas'!$D$2:$D$54,MATCH(K145,'Taxonomía temas'!$A$2:$A$54,0))</f>
        <v>Estado, gobierno y derechos</v>
      </c>
      <c r="O145" s="9" t="n">
        <f aca="false">INDEX('Taxonomía temas'!$F$2:$F$54,MATCH(K145,'Taxonomía temas'!$A$2:$A$54,0))</f>
        <v>16</v>
      </c>
      <c r="P145" s="7"/>
      <c r="Q145" s="7" t="s">
        <v>177</v>
      </c>
      <c r="R145" s="7" t="s">
        <v>68</v>
      </c>
      <c r="S145" s="7" t="s">
        <v>68</v>
      </c>
      <c r="T145" s="7" t="s">
        <v>68</v>
      </c>
      <c r="U145" s="7" t="s">
        <v>68</v>
      </c>
      <c r="V145" s="7"/>
      <c r="W145" s="9" t="str">
        <f aca="false">IF(V145="","No","Sí")</f>
        <v>No</v>
      </c>
      <c r="X145" s="6"/>
      <c r="Y145" s="6"/>
      <c r="Z145" s="6" t="s">
        <v>1264</v>
      </c>
      <c r="AA145" s="4" t="s">
        <v>1265</v>
      </c>
      <c r="AB145" s="6" t="s">
        <v>71</v>
      </c>
      <c r="AC145" s="6" t="s">
        <v>1228</v>
      </c>
      <c r="AD145" s="6" t="s">
        <v>1266</v>
      </c>
      <c r="AE145" s="6" t="s">
        <v>74</v>
      </c>
    </row>
    <row r="146" customFormat="false" ht="23.85" hidden="false" customHeight="false" outlineLevel="0" collapsed="false">
      <c r="A146" s="6" t="s">
        <v>1267</v>
      </c>
      <c r="B146" s="4" t="s">
        <v>1268</v>
      </c>
      <c r="C146" s="6" t="s">
        <v>1223</v>
      </c>
      <c r="D146" s="7" t="s">
        <v>60</v>
      </c>
      <c r="E146" s="6" t="s">
        <v>61</v>
      </c>
      <c r="F146" s="6" t="s">
        <v>242</v>
      </c>
      <c r="G146" s="6" t="s">
        <v>110</v>
      </c>
      <c r="H146" s="4" t="s">
        <v>1269</v>
      </c>
      <c r="I146" s="8" t="s">
        <v>1270</v>
      </c>
      <c r="J146" s="7" t="s">
        <v>571</v>
      </c>
      <c r="K146" s="9" t="str">
        <f aca="false">LEFT(J146,3)</f>
        <v>T46</v>
      </c>
      <c r="L146" s="7" t="s">
        <v>572</v>
      </c>
      <c r="M146" s="9" t="str">
        <f aca="false">IF(L146="",K146,K146&amp;"; "&amp;L146)</f>
        <v>T46; T47</v>
      </c>
      <c r="N146" s="9" t="str">
        <f aca="false">INDEX('Taxonomía temas'!$D$2:$D$54,MATCH(K146,'Taxonomía temas'!$A$2:$A$54,0))</f>
        <v>Estado, gobierno y derechos</v>
      </c>
      <c r="O146" s="9" t="n">
        <f aca="false">INDEX('Taxonomía temas'!$F$2:$F$54,MATCH(K146,'Taxonomía temas'!$A$2:$A$54,0))</f>
        <v>16</v>
      </c>
      <c r="P146" s="7"/>
      <c r="Q146" s="7" t="s">
        <v>67</v>
      </c>
      <c r="R146" s="7" t="s">
        <v>68</v>
      </c>
      <c r="S146" s="7" t="s">
        <v>68</v>
      </c>
      <c r="T146" s="7" t="s">
        <v>224</v>
      </c>
      <c r="U146" s="7" t="s">
        <v>68</v>
      </c>
      <c r="V146" s="7" t="s">
        <v>1271</v>
      </c>
      <c r="W146" s="9" t="str">
        <f aca="false">IF(V146="","No","Sí")</f>
        <v>Sí</v>
      </c>
      <c r="X146" s="6" t="s">
        <v>1272</v>
      </c>
      <c r="Y146" s="6"/>
      <c r="Z146" s="6" t="s">
        <v>1273</v>
      </c>
      <c r="AA146" s="4" t="s">
        <v>1274</v>
      </c>
      <c r="AB146" s="6" t="s">
        <v>71</v>
      </c>
      <c r="AC146" s="6" t="s">
        <v>1228</v>
      </c>
      <c r="AD146" s="6" t="s">
        <v>1275</v>
      </c>
      <c r="AE146" s="6" t="s">
        <v>74</v>
      </c>
    </row>
    <row r="147" customFormat="false" ht="46.25" hidden="false" customHeight="false" outlineLevel="0" collapsed="false">
      <c r="A147" s="6" t="s">
        <v>1276</v>
      </c>
      <c r="B147" s="4" t="s">
        <v>1277</v>
      </c>
      <c r="C147" s="6" t="s">
        <v>1278</v>
      </c>
      <c r="D147" s="7" t="s">
        <v>1279</v>
      </c>
      <c r="E147" s="6" t="s">
        <v>1280</v>
      </c>
      <c r="F147" s="6" t="s">
        <v>1281</v>
      </c>
      <c r="G147" s="6" t="s">
        <v>1282</v>
      </c>
      <c r="H147" s="4" t="s">
        <v>1283</v>
      </c>
      <c r="I147" s="8" t="s">
        <v>1284</v>
      </c>
      <c r="J147" s="7" t="s">
        <v>1086</v>
      </c>
      <c r="K147" s="9" t="str">
        <f aca="false">LEFT(J147,3)</f>
        <v>T11</v>
      </c>
      <c r="L147" s="7" t="s">
        <v>1285</v>
      </c>
      <c r="M147" s="9" t="str">
        <f aca="false">IF(L147="",K147,K147&amp;"; "&amp;L147)</f>
        <v>T11; T12; T03</v>
      </c>
      <c r="N147" s="9" t="str">
        <f aca="false">INDEX('Taxonomía temas'!$D$2:$D$54,MATCH(K147,'Taxonomía temas'!$A$2:$A$54,0))</f>
        <v>Ciencia, tecnología e innovación</v>
      </c>
      <c r="O147" s="9" t="n">
        <f aca="false">INDEX('Taxonomía temas'!$F$2:$F$54,MATCH(K147,'Taxonomía temas'!$A$2:$A$54,0))</f>
        <v>9</v>
      </c>
      <c r="P147" s="7"/>
      <c r="Q147" s="7" t="s">
        <v>177</v>
      </c>
      <c r="R147" s="7" t="s">
        <v>68</v>
      </c>
      <c r="S147" s="7" t="s">
        <v>68</v>
      </c>
      <c r="T147" s="7" t="s">
        <v>68</v>
      </c>
      <c r="U147" s="7" t="s">
        <v>68</v>
      </c>
      <c r="V147" s="7"/>
      <c r="W147" s="9" t="str">
        <f aca="false">IF(V147="","No","Sí")</f>
        <v>No</v>
      </c>
      <c r="X147" s="6" t="s">
        <v>1286</v>
      </c>
      <c r="Y147" s="6"/>
      <c r="Z147" s="6" t="s">
        <v>1287</v>
      </c>
      <c r="AA147" s="6" t="s">
        <v>1288</v>
      </c>
      <c r="AB147" s="6" t="s">
        <v>1289</v>
      </c>
      <c r="AC147" s="6"/>
      <c r="AD147" s="6"/>
      <c r="AE147" s="6" t="s">
        <v>1290</v>
      </c>
    </row>
    <row r="148" customFormat="false" ht="35.05" hidden="false" customHeight="false" outlineLevel="0" collapsed="false">
      <c r="A148" s="6" t="s">
        <v>1291</v>
      </c>
      <c r="B148" s="4" t="s">
        <v>1292</v>
      </c>
      <c r="C148" s="6" t="s">
        <v>1293</v>
      </c>
      <c r="D148" s="7" t="s">
        <v>1279</v>
      </c>
      <c r="E148" s="6" t="s">
        <v>1280</v>
      </c>
      <c r="F148" s="6" t="s">
        <v>1294</v>
      </c>
      <c r="G148" s="6" t="s">
        <v>1295</v>
      </c>
      <c r="H148" s="4" t="s">
        <v>1296</v>
      </c>
      <c r="I148" s="8" t="s">
        <v>1297</v>
      </c>
      <c r="J148" s="7" t="s">
        <v>1086</v>
      </c>
      <c r="K148" s="9" t="str">
        <f aca="false">LEFT(J148,3)</f>
        <v>T11</v>
      </c>
      <c r="L148" s="7" t="s">
        <v>1298</v>
      </c>
      <c r="M148" s="9" t="str">
        <f aca="false">IF(L148="",K148,K148&amp;"; "&amp;L148)</f>
        <v>T11; T12; T13</v>
      </c>
      <c r="N148" s="9" t="str">
        <f aca="false">INDEX('Taxonomía temas'!$D$2:$D$54,MATCH(K148,'Taxonomía temas'!$A$2:$A$54,0))</f>
        <v>Ciencia, tecnología e innovación</v>
      </c>
      <c r="O148" s="9" t="n">
        <f aca="false">INDEX('Taxonomía temas'!$F$2:$F$54,MATCH(K148,'Taxonomía temas'!$A$2:$A$54,0))</f>
        <v>9</v>
      </c>
      <c r="P148" s="7"/>
      <c r="Q148" s="7" t="s">
        <v>67</v>
      </c>
      <c r="R148" s="7" t="s">
        <v>68</v>
      </c>
      <c r="S148" s="7" t="s">
        <v>68</v>
      </c>
      <c r="T148" s="7" t="s">
        <v>68</v>
      </c>
      <c r="U148" s="7" t="s">
        <v>68</v>
      </c>
      <c r="V148" s="7" t="s">
        <v>1299</v>
      </c>
      <c r="W148" s="9" t="str">
        <f aca="false">IF(V148="","No","Sí")</f>
        <v>Sí</v>
      </c>
      <c r="X148" s="6"/>
      <c r="Y148" s="6"/>
      <c r="Z148" s="6" t="s">
        <v>1300</v>
      </c>
      <c r="AA148" s="6" t="s">
        <v>1297</v>
      </c>
      <c r="AB148" s="6" t="s">
        <v>1289</v>
      </c>
      <c r="AC148" s="6"/>
      <c r="AD148" s="6"/>
      <c r="AE148" s="6" t="s">
        <v>1290</v>
      </c>
    </row>
    <row r="149" customFormat="false" ht="35.05" hidden="false" customHeight="false" outlineLevel="0" collapsed="false">
      <c r="A149" s="6" t="s">
        <v>1301</v>
      </c>
      <c r="B149" s="4" t="s">
        <v>1302</v>
      </c>
      <c r="C149" s="6" t="s">
        <v>1293</v>
      </c>
      <c r="D149" s="7" t="s">
        <v>1279</v>
      </c>
      <c r="E149" s="6" t="s">
        <v>1280</v>
      </c>
      <c r="F149" s="6" t="s">
        <v>323</v>
      </c>
      <c r="G149" s="6" t="s">
        <v>1279</v>
      </c>
      <c r="H149" s="4" t="s">
        <v>1303</v>
      </c>
      <c r="I149" s="8" t="s">
        <v>1304</v>
      </c>
      <c r="J149" s="7" t="s">
        <v>1305</v>
      </c>
      <c r="K149" s="9" t="str">
        <f aca="false">LEFT(J149,3)</f>
        <v>T12</v>
      </c>
      <c r="L149" s="7" t="s">
        <v>1306</v>
      </c>
      <c r="M149" s="9" t="str">
        <f aca="false">IF(L149="",K149,K149&amp;"; "&amp;L149)</f>
        <v>T12; T11</v>
      </c>
      <c r="N149" s="9" t="str">
        <f aca="false">INDEX('Taxonomía temas'!$D$2:$D$54,MATCH(K149,'Taxonomía temas'!$A$2:$A$54,0))</f>
        <v>Ciencia, tecnología e innovación</v>
      </c>
      <c r="O149" s="9" t="n">
        <f aca="false">INDEX('Taxonomía temas'!$F$2:$F$54,MATCH(K149,'Taxonomía temas'!$A$2:$A$54,0))</f>
        <v>9</v>
      </c>
      <c r="P149" s="7"/>
      <c r="Q149" s="7" t="s">
        <v>326</v>
      </c>
      <c r="R149" s="7" t="s">
        <v>224</v>
      </c>
      <c r="S149" s="7" t="s">
        <v>68</v>
      </c>
      <c r="T149" s="7" t="s">
        <v>68</v>
      </c>
      <c r="U149" s="7" t="s">
        <v>68</v>
      </c>
      <c r="V149" s="7"/>
      <c r="W149" s="9" t="str">
        <f aca="false">IF(V149="","No","Sí")</f>
        <v>No</v>
      </c>
      <c r="X149" s="6"/>
      <c r="Y149" s="6"/>
      <c r="Z149" s="6" t="s">
        <v>1307</v>
      </c>
      <c r="AA149" s="6" t="s">
        <v>1304</v>
      </c>
      <c r="AB149" s="6" t="s">
        <v>1289</v>
      </c>
      <c r="AC149" s="6"/>
      <c r="AD149" s="6"/>
      <c r="AE149" s="6" t="s">
        <v>1290</v>
      </c>
    </row>
    <row r="150" customFormat="false" ht="35.05" hidden="false" customHeight="false" outlineLevel="0" collapsed="false">
      <c r="A150" s="6" t="s">
        <v>1308</v>
      </c>
      <c r="B150" s="4" t="s">
        <v>1309</v>
      </c>
      <c r="C150" s="6" t="s">
        <v>1310</v>
      </c>
      <c r="D150" s="7" t="s">
        <v>1279</v>
      </c>
      <c r="E150" s="6" t="s">
        <v>1311</v>
      </c>
      <c r="F150" s="6" t="s">
        <v>406</v>
      </c>
      <c r="G150" s="6" t="s">
        <v>1312</v>
      </c>
      <c r="H150" s="4" t="s">
        <v>1313</v>
      </c>
      <c r="I150" s="8" t="s">
        <v>1314</v>
      </c>
      <c r="J150" s="7" t="s">
        <v>1086</v>
      </c>
      <c r="K150" s="9" t="str">
        <f aca="false">LEFT(J150,3)</f>
        <v>T11</v>
      </c>
      <c r="L150" s="7" t="s">
        <v>1315</v>
      </c>
      <c r="M150" s="9" t="str">
        <f aca="false">IF(L150="",K150,K150&amp;"; "&amp;L150)</f>
        <v>T11; T12; T29</v>
      </c>
      <c r="N150" s="9" t="str">
        <f aca="false">INDEX('Taxonomía temas'!$D$2:$D$54,MATCH(K150,'Taxonomía temas'!$A$2:$A$54,0))</f>
        <v>Ciencia, tecnología e innovación</v>
      </c>
      <c r="O150" s="9" t="n">
        <f aca="false">INDEX('Taxonomía temas'!$F$2:$F$54,MATCH(K150,'Taxonomía temas'!$A$2:$A$54,0))</f>
        <v>9</v>
      </c>
      <c r="P150" s="7"/>
      <c r="Q150" s="7" t="s">
        <v>94</v>
      </c>
      <c r="R150" s="7" t="s">
        <v>224</v>
      </c>
      <c r="S150" s="7" t="s">
        <v>68</v>
      </c>
      <c r="T150" s="7" t="s">
        <v>68</v>
      </c>
      <c r="U150" s="7" t="s">
        <v>68</v>
      </c>
      <c r="V150" s="7"/>
      <c r="W150" s="9" t="str">
        <f aca="false">IF(V150="","No","Sí")</f>
        <v>No</v>
      </c>
      <c r="X150" s="6"/>
      <c r="Y150" s="6"/>
      <c r="Z150" s="6" t="s">
        <v>1316</v>
      </c>
      <c r="AA150" s="6" t="s">
        <v>1314</v>
      </c>
      <c r="AB150" s="6" t="s">
        <v>1289</v>
      </c>
      <c r="AC150" s="6"/>
      <c r="AD150" s="6"/>
      <c r="AE150" s="6" t="s">
        <v>1290</v>
      </c>
    </row>
    <row r="151" customFormat="false" ht="23.85" hidden="false" customHeight="false" outlineLevel="0" collapsed="false">
      <c r="A151" s="6" t="s">
        <v>1317</v>
      </c>
      <c r="B151" s="4" t="s">
        <v>1318</v>
      </c>
      <c r="C151" s="6" t="s">
        <v>1319</v>
      </c>
      <c r="D151" s="7" t="s">
        <v>1279</v>
      </c>
      <c r="E151" s="6" t="s">
        <v>1280</v>
      </c>
      <c r="F151" s="6" t="s">
        <v>323</v>
      </c>
      <c r="G151" s="6" t="s">
        <v>1279</v>
      </c>
      <c r="H151" s="4" t="s">
        <v>1320</v>
      </c>
      <c r="I151" s="8" t="s">
        <v>1321</v>
      </c>
      <c r="J151" s="7" t="s">
        <v>1086</v>
      </c>
      <c r="K151" s="9" t="str">
        <f aca="false">LEFT(J151,3)</f>
        <v>T11</v>
      </c>
      <c r="L151" s="7" t="s">
        <v>1322</v>
      </c>
      <c r="M151" s="9" t="str">
        <f aca="false">IF(L151="",K151,K151&amp;"; "&amp;L151)</f>
        <v>T11; T27; T29; T30</v>
      </c>
      <c r="N151" s="9" t="str">
        <f aca="false">INDEX('Taxonomía temas'!$D$2:$D$54,MATCH(K151,'Taxonomía temas'!$A$2:$A$54,0))</f>
        <v>Ciencia, tecnología e innovación</v>
      </c>
      <c r="O151" s="9" t="n">
        <f aca="false">INDEX('Taxonomía temas'!$F$2:$F$54,MATCH(K151,'Taxonomía temas'!$A$2:$A$54,0))</f>
        <v>9</v>
      </c>
      <c r="P151" s="7"/>
      <c r="Q151" s="7" t="s">
        <v>326</v>
      </c>
      <c r="R151" s="7" t="s">
        <v>224</v>
      </c>
      <c r="S151" s="7" t="s">
        <v>224</v>
      </c>
      <c r="T151" s="7" t="s">
        <v>68</v>
      </c>
      <c r="U151" s="7" t="s">
        <v>68</v>
      </c>
      <c r="V151" s="7"/>
      <c r="W151" s="9" t="str">
        <f aca="false">IF(V151="","No","Sí")</f>
        <v>No</v>
      </c>
      <c r="X151" s="6"/>
      <c r="Y151" s="6"/>
      <c r="Z151" s="6" t="s">
        <v>1307</v>
      </c>
      <c r="AA151" s="6" t="s">
        <v>1321</v>
      </c>
      <c r="AB151" s="6" t="s">
        <v>1289</v>
      </c>
      <c r="AC151" s="6"/>
      <c r="AD151" s="6"/>
      <c r="AE151" s="6" t="s">
        <v>1290</v>
      </c>
    </row>
    <row r="152" customFormat="false" ht="35.05" hidden="false" customHeight="false" outlineLevel="0" collapsed="false">
      <c r="A152" s="6" t="s">
        <v>1323</v>
      </c>
      <c r="B152" s="4" t="s">
        <v>1324</v>
      </c>
      <c r="C152" s="6" t="s">
        <v>1325</v>
      </c>
      <c r="D152" s="7" t="s">
        <v>1279</v>
      </c>
      <c r="E152" s="6" t="s">
        <v>1280</v>
      </c>
      <c r="F152" s="6" t="s">
        <v>1294</v>
      </c>
      <c r="G152" s="6" t="s">
        <v>1326</v>
      </c>
      <c r="H152" s="4" t="s">
        <v>1327</v>
      </c>
      <c r="I152" s="8" t="s">
        <v>1328</v>
      </c>
      <c r="J152" s="7" t="s">
        <v>1086</v>
      </c>
      <c r="K152" s="9" t="str">
        <f aca="false">LEFT(J152,3)</f>
        <v>T11</v>
      </c>
      <c r="L152" s="7" t="s">
        <v>1329</v>
      </c>
      <c r="M152" s="9" t="str">
        <f aca="false">IF(L152="",K152,K152&amp;"; "&amp;L152)</f>
        <v>T11; T10; T13</v>
      </c>
      <c r="N152" s="9" t="str">
        <f aca="false">INDEX('Taxonomía temas'!$D$2:$D$54,MATCH(K152,'Taxonomía temas'!$A$2:$A$54,0))</f>
        <v>Ciencia, tecnología e innovación</v>
      </c>
      <c r="O152" s="9" t="n">
        <f aca="false">INDEX('Taxonomía temas'!$F$2:$F$54,MATCH(K152,'Taxonomía temas'!$A$2:$A$54,0))</f>
        <v>9</v>
      </c>
      <c r="P152" s="7"/>
      <c r="Q152" s="7" t="s">
        <v>67</v>
      </c>
      <c r="R152" s="7" t="s">
        <v>68</v>
      </c>
      <c r="S152" s="7" t="s">
        <v>68</v>
      </c>
      <c r="T152" s="7" t="s">
        <v>68</v>
      </c>
      <c r="U152" s="7" t="s">
        <v>68</v>
      </c>
      <c r="V152" s="7" t="s">
        <v>1330</v>
      </c>
      <c r="W152" s="9" t="str">
        <f aca="false">IF(V152="","No","Sí")</f>
        <v>Sí</v>
      </c>
      <c r="X152" s="6" t="s">
        <v>1331</v>
      </c>
      <c r="Y152" s="6"/>
      <c r="Z152" s="6" t="s">
        <v>1332</v>
      </c>
      <c r="AA152" s="6" t="s">
        <v>1333</v>
      </c>
      <c r="AB152" s="6" t="s">
        <v>1289</v>
      </c>
      <c r="AC152" s="6"/>
      <c r="AD152" s="6"/>
      <c r="AE152" s="6" t="s">
        <v>1290</v>
      </c>
    </row>
    <row r="153" customFormat="false" ht="23.85" hidden="false" customHeight="false" outlineLevel="0" collapsed="false">
      <c r="A153" s="6" t="s">
        <v>1334</v>
      </c>
      <c r="B153" s="4" t="s">
        <v>1335</v>
      </c>
      <c r="C153" s="6" t="s">
        <v>1336</v>
      </c>
      <c r="D153" s="7" t="s">
        <v>1279</v>
      </c>
      <c r="E153" s="6" t="s">
        <v>1337</v>
      </c>
      <c r="F153" s="6" t="s">
        <v>1281</v>
      </c>
      <c r="G153" s="6" t="s">
        <v>1279</v>
      </c>
      <c r="H153" s="4" t="s">
        <v>1338</v>
      </c>
      <c r="I153" s="8" t="s">
        <v>1339</v>
      </c>
      <c r="J153" s="7" t="s">
        <v>1086</v>
      </c>
      <c r="K153" s="9" t="str">
        <f aca="false">LEFT(J153,3)</f>
        <v>T11</v>
      </c>
      <c r="L153" s="7" t="s">
        <v>1340</v>
      </c>
      <c r="M153" s="9" t="str">
        <f aca="false">IF(L153="",K153,K153&amp;"; "&amp;L153)</f>
        <v>T11; T29</v>
      </c>
      <c r="N153" s="9" t="str">
        <f aca="false">INDEX('Taxonomía temas'!$D$2:$D$54,MATCH(K153,'Taxonomía temas'!$A$2:$A$54,0))</f>
        <v>Ciencia, tecnología e innovación</v>
      </c>
      <c r="O153" s="9" t="n">
        <f aca="false">INDEX('Taxonomía temas'!$F$2:$F$54,MATCH(K153,'Taxonomía temas'!$A$2:$A$54,0))</f>
        <v>9</v>
      </c>
      <c r="P153" s="7"/>
      <c r="Q153" s="7" t="s">
        <v>177</v>
      </c>
      <c r="R153" s="7" t="s">
        <v>224</v>
      </c>
      <c r="S153" s="7" t="s">
        <v>68</v>
      </c>
      <c r="T153" s="7" t="s">
        <v>68</v>
      </c>
      <c r="U153" s="7" t="s">
        <v>68</v>
      </c>
      <c r="V153" s="7"/>
      <c r="W153" s="9" t="str">
        <f aca="false">IF(V153="","No","Sí")</f>
        <v>No</v>
      </c>
      <c r="X153" s="6"/>
      <c r="Y153" s="6"/>
      <c r="Z153" s="6" t="s">
        <v>1307</v>
      </c>
      <c r="AA153" s="6" t="s">
        <v>1339</v>
      </c>
      <c r="AB153" s="6" t="s">
        <v>1289</v>
      </c>
      <c r="AC153" s="6"/>
      <c r="AD153" s="6"/>
      <c r="AE153" s="6" t="s">
        <v>1290</v>
      </c>
    </row>
    <row r="154" customFormat="false" ht="23.85" hidden="false" customHeight="false" outlineLevel="0" collapsed="false">
      <c r="A154" s="6" t="s">
        <v>1341</v>
      </c>
      <c r="B154" s="4" t="s">
        <v>1342</v>
      </c>
      <c r="C154" s="6" t="s">
        <v>1343</v>
      </c>
      <c r="D154" s="7" t="s">
        <v>1279</v>
      </c>
      <c r="E154" s="6" t="s">
        <v>1344</v>
      </c>
      <c r="F154" s="6" t="s">
        <v>1281</v>
      </c>
      <c r="G154" s="6" t="s">
        <v>1279</v>
      </c>
      <c r="H154" s="4" t="s">
        <v>1345</v>
      </c>
      <c r="I154" s="8" t="s">
        <v>1346</v>
      </c>
      <c r="J154" s="7" t="s">
        <v>82</v>
      </c>
      <c r="K154" s="9" t="str">
        <f aca="false">LEFT(J154,3)</f>
        <v>T03</v>
      </c>
      <c r="L154" s="7" t="s">
        <v>1347</v>
      </c>
      <c r="M154" s="9" t="str">
        <f aca="false">IF(L154="",K154,K154&amp;"; "&amp;L154)</f>
        <v>T03; T11; T05</v>
      </c>
      <c r="N154" s="9" t="str">
        <f aca="false">INDEX('Taxonomía temas'!$D$2:$D$54,MATCH(K154,'Taxonomía temas'!$A$2:$A$54,0))</f>
        <v>Economía y producción</v>
      </c>
      <c r="O154" s="9" t="n">
        <f aca="false">INDEX('Taxonomía temas'!$F$2:$F$54,MATCH(K154,'Taxonomía temas'!$A$2:$A$54,0))</f>
        <v>17</v>
      </c>
      <c r="P154" s="7"/>
      <c r="Q154" s="7" t="s">
        <v>177</v>
      </c>
      <c r="R154" s="7" t="s">
        <v>224</v>
      </c>
      <c r="S154" s="7" t="s">
        <v>68</v>
      </c>
      <c r="T154" s="7" t="s">
        <v>68</v>
      </c>
      <c r="U154" s="7" t="s">
        <v>68</v>
      </c>
      <c r="V154" s="7"/>
      <c r="W154" s="9" t="str">
        <f aca="false">IF(V154="","No","Sí")</f>
        <v>No</v>
      </c>
      <c r="X154" s="6"/>
      <c r="Y154" s="6"/>
      <c r="Z154" s="6" t="s">
        <v>1307</v>
      </c>
      <c r="AA154" s="6" t="s">
        <v>1346</v>
      </c>
      <c r="AB154" s="6" t="s">
        <v>1289</v>
      </c>
      <c r="AC154" s="6"/>
      <c r="AD154" s="6"/>
      <c r="AE154" s="6" t="s">
        <v>1290</v>
      </c>
    </row>
    <row r="155" customFormat="false" ht="23.85" hidden="false" customHeight="false" outlineLevel="0" collapsed="false">
      <c r="A155" s="6" t="s">
        <v>1348</v>
      </c>
      <c r="B155" s="4" t="s">
        <v>1349</v>
      </c>
      <c r="C155" s="6" t="s">
        <v>1350</v>
      </c>
      <c r="D155" s="7" t="s">
        <v>1279</v>
      </c>
      <c r="E155" s="6" t="s">
        <v>1311</v>
      </c>
      <c r="F155" s="6" t="s">
        <v>62</v>
      </c>
      <c r="G155" s="6" t="s">
        <v>1351</v>
      </c>
      <c r="H155" s="4" t="s">
        <v>1352</v>
      </c>
      <c r="I155" s="8" t="s">
        <v>1353</v>
      </c>
      <c r="J155" s="7" t="s">
        <v>222</v>
      </c>
      <c r="K155" s="9" t="str">
        <f aca="false">LEFT(J155,3)</f>
        <v>T07</v>
      </c>
      <c r="L155" s="7" t="s">
        <v>1306</v>
      </c>
      <c r="M155" s="9" t="str">
        <f aca="false">IF(L155="",K155,K155&amp;"; "&amp;L155)</f>
        <v>T07; T11</v>
      </c>
      <c r="N155" s="9" t="str">
        <f aca="false">INDEX('Taxonomía temas'!$D$2:$D$54,MATCH(K155,'Taxonomía temas'!$A$2:$A$54,0))</f>
        <v>Economía y producción</v>
      </c>
      <c r="O155" s="9" t="n">
        <f aca="false">INDEX('Taxonomía temas'!$F$2:$F$54,MATCH(K155,'Taxonomía temas'!$A$2:$A$54,0))</f>
        <v>8</v>
      </c>
      <c r="P155" s="7"/>
      <c r="Q155" s="7" t="s">
        <v>67</v>
      </c>
      <c r="R155" s="7" t="s">
        <v>68</v>
      </c>
      <c r="S155" s="7" t="s">
        <v>68</v>
      </c>
      <c r="T155" s="7" t="s">
        <v>68</v>
      </c>
      <c r="U155" s="7" t="s">
        <v>68</v>
      </c>
      <c r="V155" s="7" t="s">
        <v>1354</v>
      </c>
      <c r="W155" s="9" t="str">
        <f aca="false">IF(V155="","No","Sí")</f>
        <v>Sí</v>
      </c>
      <c r="X155" s="6"/>
      <c r="Y155" s="6"/>
      <c r="Z155" s="6" t="s">
        <v>1355</v>
      </c>
      <c r="AA155" s="6" t="s">
        <v>1356</v>
      </c>
      <c r="AB155" s="6" t="s">
        <v>1289</v>
      </c>
      <c r="AC155" s="6"/>
      <c r="AD155" s="6"/>
      <c r="AE155" s="6" t="s">
        <v>1290</v>
      </c>
    </row>
    <row r="156" customFormat="false" ht="15" hidden="false" customHeight="false" outlineLevel="0" collapsed="false">
      <c r="A156" s="6" t="s">
        <v>1357</v>
      </c>
      <c r="B156" s="4" t="s">
        <v>1358</v>
      </c>
      <c r="C156" s="6" t="s">
        <v>1359</v>
      </c>
      <c r="D156" s="7" t="s">
        <v>1279</v>
      </c>
      <c r="E156" s="6" t="s">
        <v>1280</v>
      </c>
      <c r="F156" s="6" t="s">
        <v>1281</v>
      </c>
      <c r="G156" s="6" t="s">
        <v>1279</v>
      </c>
      <c r="H156" s="4" t="s">
        <v>1360</v>
      </c>
      <c r="I156" s="8" t="s">
        <v>1361</v>
      </c>
      <c r="J156" s="7" t="s">
        <v>1086</v>
      </c>
      <c r="K156" s="9" t="str">
        <f aca="false">LEFT(J156,3)</f>
        <v>T11</v>
      </c>
      <c r="L156" s="7" t="s">
        <v>1161</v>
      </c>
      <c r="M156" s="9" t="str">
        <f aca="false">IF(L156="",K156,K156&amp;"; "&amp;L156)</f>
        <v>T11; T43</v>
      </c>
      <c r="N156" s="9" t="str">
        <f aca="false">INDEX('Taxonomía temas'!$D$2:$D$54,MATCH(K156,'Taxonomía temas'!$A$2:$A$54,0))</f>
        <v>Ciencia, tecnología e innovación</v>
      </c>
      <c r="O156" s="9" t="n">
        <f aca="false">INDEX('Taxonomía temas'!$F$2:$F$54,MATCH(K156,'Taxonomía temas'!$A$2:$A$54,0))</f>
        <v>9</v>
      </c>
      <c r="P156" s="7"/>
      <c r="Q156" s="7" t="s">
        <v>177</v>
      </c>
      <c r="R156" s="7" t="s">
        <v>68</v>
      </c>
      <c r="S156" s="7" t="s">
        <v>68</v>
      </c>
      <c r="T156" s="7" t="s">
        <v>68</v>
      </c>
      <c r="U156" s="7" t="s">
        <v>68</v>
      </c>
      <c r="V156" s="7"/>
      <c r="W156" s="9" t="str">
        <f aca="false">IF(V156="","No","Sí")</f>
        <v>No</v>
      </c>
      <c r="X156" s="6"/>
      <c r="Y156" s="6"/>
      <c r="Z156" s="6" t="s">
        <v>1307</v>
      </c>
      <c r="AA156" s="6" t="s">
        <v>1362</v>
      </c>
      <c r="AB156" s="6" t="s">
        <v>1289</v>
      </c>
      <c r="AC156" s="6"/>
      <c r="AD156" s="6"/>
      <c r="AE156" s="6" t="s">
        <v>1290</v>
      </c>
    </row>
    <row r="157" customFormat="false" ht="23.85" hidden="false" customHeight="false" outlineLevel="0" collapsed="false">
      <c r="A157" s="6" t="s">
        <v>1363</v>
      </c>
      <c r="B157" s="4" t="s">
        <v>1364</v>
      </c>
      <c r="C157" s="6" t="s">
        <v>1365</v>
      </c>
      <c r="D157" s="7" t="s">
        <v>1279</v>
      </c>
      <c r="E157" s="6" t="s">
        <v>1280</v>
      </c>
      <c r="F157" s="6" t="s">
        <v>702</v>
      </c>
      <c r="G157" s="6" t="s">
        <v>1279</v>
      </c>
      <c r="H157" s="4" t="s">
        <v>1366</v>
      </c>
      <c r="I157" s="8" t="s">
        <v>1367</v>
      </c>
      <c r="J157" s="7" t="s">
        <v>910</v>
      </c>
      <c r="K157" s="9" t="str">
        <f aca="false">LEFT(J157,3)</f>
        <v>T49</v>
      </c>
      <c r="L157" s="7" t="s">
        <v>1368</v>
      </c>
      <c r="M157" s="9" t="str">
        <f aca="false">IF(L157="",K157,K157&amp;"; "&amp;L157)</f>
        <v>T49; T01; T17; T14</v>
      </c>
      <c r="N157" s="9" t="str">
        <f aca="false">INDEX('Taxonomía temas'!$D$2:$D$54,MATCH(K157,'Taxonomía temas'!$A$2:$A$54,0))</f>
        <v>Estado, gobierno y derechos</v>
      </c>
      <c r="O157" s="9" t="n">
        <f aca="false">INDEX('Taxonomía temas'!$F$2:$F$54,MATCH(K157,'Taxonomía temas'!$A$2:$A$54,0))</f>
        <v>17</v>
      </c>
      <c r="P157" s="7"/>
      <c r="Q157" s="7" t="s">
        <v>326</v>
      </c>
      <c r="R157" s="7" t="s">
        <v>224</v>
      </c>
      <c r="S157" s="7" t="s">
        <v>224</v>
      </c>
      <c r="T157" s="7" t="s">
        <v>68</v>
      </c>
      <c r="U157" s="7" t="s">
        <v>68</v>
      </c>
      <c r="V157" s="7"/>
      <c r="W157" s="9" t="str">
        <f aca="false">IF(V157="","No","Sí")</f>
        <v>No</v>
      </c>
      <c r="X157" s="6"/>
      <c r="Y157" s="6"/>
      <c r="Z157" s="6" t="s">
        <v>1307</v>
      </c>
      <c r="AA157" s="6" t="s">
        <v>1367</v>
      </c>
      <c r="AB157" s="6" t="s">
        <v>1289</v>
      </c>
      <c r="AC157" s="6"/>
      <c r="AD157" s="6"/>
      <c r="AE157" s="6" t="s">
        <v>1290</v>
      </c>
    </row>
    <row r="158" customFormat="false" ht="23.85" hidden="false" customHeight="false" outlineLevel="0" collapsed="false">
      <c r="A158" s="6" t="s">
        <v>1369</v>
      </c>
      <c r="B158" s="4" t="s">
        <v>1370</v>
      </c>
      <c r="C158" s="6" t="s">
        <v>1371</v>
      </c>
      <c r="D158" s="7" t="s">
        <v>1279</v>
      </c>
      <c r="E158" s="6" t="s">
        <v>1280</v>
      </c>
      <c r="F158" s="6" t="s">
        <v>79</v>
      </c>
      <c r="G158" s="6" t="s">
        <v>1372</v>
      </c>
      <c r="H158" s="4" t="s">
        <v>1373</v>
      </c>
      <c r="I158" s="8" t="s">
        <v>1374</v>
      </c>
      <c r="J158" s="7" t="s">
        <v>910</v>
      </c>
      <c r="K158" s="9" t="str">
        <f aca="false">LEFT(J158,3)</f>
        <v>T49</v>
      </c>
      <c r="L158" s="7" t="s">
        <v>1375</v>
      </c>
      <c r="M158" s="9" t="str">
        <f aca="false">IF(L158="",K158,K158&amp;"; "&amp;L158)</f>
        <v>T49; T01; T17; T32</v>
      </c>
      <c r="N158" s="9" t="str">
        <f aca="false">INDEX('Taxonomía temas'!$D$2:$D$54,MATCH(K158,'Taxonomía temas'!$A$2:$A$54,0))</f>
        <v>Estado, gobierno y derechos</v>
      </c>
      <c r="O158" s="9" t="n">
        <f aca="false">INDEX('Taxonomía temas'!$F$2:$F$54,MATCH(K158,'Taxonomía temas'!$A$2:$A$54,0))</f>
        <v>17</v>
      </c>
      <c r="P158" s="7"/>
      <c r="Q158" s="7" t="s">
        <v>94</v>
      </c>
      <c r="R158" s="7" t="s">
        <v>224</v>
      </c>
      <c r="S158" s="7" t="s">
        <v>224</v>
      </c>
      <c r="T158" s="7" t="s">
        <v>68</v>
      </c>
      <c r="U158" s="7" t="s">
        <v>68</v>
      </c>
      <c r="V158" s="7"/>
      <c r="W158" s="9" t="str">
        <f aca="false">IF(V158="","No","Sí")</f>
        <v>No</v>
      </c>
      <c r="X158" s="6"/>
      <c r="Y158" s="6"/>
      <c r="Z158" s="6" t="s">
        <v>1307</v>
      </c>
      <c r="AA158" s="6" t="s">
        <v>1374</v>
      </c>
      <c r="AB158" s="6" t="s">
        <v>1289</v>
      </c>
      <c r="AC158" s="6"/>
      <c r="AD158" s="6"/>
      <c r="AE158" s="6" t="s">
        <v>1290</v>
      </c>
    </row>
    <row r="159" customFormat="false" ht="23.85" hidden="false" customHeight="false" outlineLevel="0" collapsed="false">
      <c r="A159" s="6" t="s">
        <v>1376</v>
      </c>
      <c r="B159" s="4" t="s">
        <v>1377</v>
      </c>
      <c r="C159" s="6" t="s">
        <v>1378</v>
      </c>
      <c r="D159" s="7" t="s">
        <v>1279</v>
      </c>
      <c r="E159" s="6" t="s">
        <v>1280</v>
      </c>
      <c r="F159" s="6" t="s">
        <v>323</v>
      </c>
      <c r="G159" s="6" t="s">
        <v>1279</v>
      </c>
      <c r="H159" s="4" t="s">
        <v>1379</v>
      </c>
      <c r="I159" s="8" t="s">
        <v>1380</v>
      </c>
      <c r="J159" s="7" t="s">
        <v>387</v>
      </c>
      <c r="K159" s="9" t="str">
        <f aca="false">LEFT(J159,3)</f>
        <v>T14</v>
      </c>
      <c r="L159" s="7" t="s">
        <v>631</v>
      </c>
      <c r="M159" s="9" t="str">
        <f aca="false">IF(L159="",K159,K159&amp;"; "&amp;L159)</f>
        <v>T14; T16</v>
      </c>
      <c r="N159" s="9" t="str">
        <f aca="false">INDEX('Taxonomía temas'!$D$2:$D$54,MATCH(K159,'Taxonomía temas'!$A$2:$A$54,0))</f>
        <v>Trabajo y protección social</v>
      </c>
      <c r="O159" s="9" t="n">
        <f aca="false">INDEX('Taxonomía temas'!$F$2:$F$54,MATCH(K159,'Taxonomía temas'!$A$2:$A$54,0))</f>
        <v>8</v>
      </c>
      <c r="P159" s="7"/>
      <c r="Q159" s="7" t="s">
        <v>326</v>
      </c>
      <c r="R159" s="7" t="s">
        <v>224</v>
      </c>
      <c r="S159" s="7" t="s">
        <v>224</v>
      </c>
      <c r="T159" s="7" t="s">
        <v>68</v>
      </c>
      <c r="U159" s="7" t="s">
        <v>68</v>
      </c>
      <c r="V159" s="7"/>
      <c r="W159" s="9" t="str">
        <f aca="false">IF(V159="","No","Sí")</f>
        <v>No</v>
      </c>
      <c r="X159" s="6"/>
      <c r="Y159" s="6"/>
      <c r="Z159" s="6" t="s">
        <v>1307</v>
      </c>
      <c r="AA159" s="6" t="s">
        <v>1380</v>
      </c>
      <c r="AB159" s="6" t="s">
        <v>1289</v>
      </c>
      <c r="AC159" s="6"/>
      <c r="AD159" s="6"/>
      <c r="AE159" s="6" t="s">
        <v>1290</v>
      </c>
    </row>
    <row r="160" customFormat="false" ht="23.85" hidden="false" customHeight="false" outlineLevel="0" collapsed="false">
      <c r="A160" s="6" t="s">
        <v>1381</v>
      </c>
      <c r="B160" s="4" t="s">
        <v>1382</v>
      </c>
      <c r="C160" s="6" t="s">
        <v>1371</v>
      </c>
      <c r="D160" s="7" t="s">
        <v>1279</v>
      </c>
      <c r="E160" s="6" t="s">
        <v>1280</v>
      </c>
      <c r="F160" s="6" t="s">
        <v>242</v>
      </c>
      <c r="G160" s="6" t="s">
        <v>1372</v>
      </c>
      <c r="H160" s="4" t="s">
        <v>1383</v>
      </c>
      <c r="I160" s="8" t="s">
        <v>1384</v>
      </c>
      <c r="J160" s="7" t="s">
        <v>410</v>
      </c>
      <c r="K160" s="9" t="str">
        <f aca="false">LEFT(J160,3)</f>
        <v>T17</v>
      </c>
      <c r="L160" s="7" t="s">
        <v>1385</v>
      </c>
      <c r="M160" s="9" t="str">
        <f aca="false">IF(L160="",K160,K160&amp;"; "&amp;L160)</f>
        <v>T17; T19; T46</v>
      </c>
      <c r="N160" s="9" t="str">
        <f aca="false">INDEX('Taxonomía temas'!$D$2:$D$54,MATCH(K160,'Taxonomía temas'!$A$2:$A$54,0))</f>
        <v>Trabajo y protección social</v>
      </c>
      <c r="O160" s="9" t="n">
        <f aca="false">INDEX('Taxonomía temas'!$F$2:$F$54,MATCH(K160,'Taxonomía temas'!$A$2:$A$54,0))</f>
        <v>1</v>
      </c>
      <c r="P160" s="7" t="s">
        <v>223</v>
      </c>
      <c r="Q160" s="7" t="s">
        <v>67</v>
      </c>
      <c r="R160" s="7" t="s">
        <v>68</v>
      </c>
      <c r="S160" s="7" t="s">
        <v>68</v>
      </c>
      <c r="T160" s="7" t="s">
        <v>68</v>
      </c>
      <c r="U160" s="7" t="s">
        <v>224</v>
      </c>
      <c r="V160" s="7"/>
      <c r="W160" s="9" t="str">
        <f aca="false">IF(V160="","No","Sí")</f>
        <v>No</v>
      </c>
      <c r="X160" s="6"/>
      <c r="Y160" s="6"/>
      <c r="Z160" s="6" t="s">
        <v>1307</v>
      </c>
      <c r="AA160" s="6" t="s">
        <v>1384</v>
      </c>
      <c r="AB160" s="6" t="s">
        <v>1289</v>
      </c>
      <c r="AC160" s="6"/>
      <c r="AD160" s="6"/>
      <c r="AE160" s="6" t="s">
        <v>1290</v>
      </c>
    </row>
    <row r="161" customFormat="false" ht="23.85" hidden="false" customHeight="false" outlineLevel="0" collapsed="false">
      <c r="A161" s="6" t="s">
        <v>1386</v>
      </c>
      <c r="B161" s="4" t="s">
        <v>1387</v>
      </c>
      <c r="C161" s="6" t="s">
        <v>1388</v>
      </c>
      <c r="D161" s="7" t="s">
        <v>1279</v>
      </c>
      <c r="E161" s="6" t="s">
        <v>1311</v>
      </c>
      <c r="F161" s="6" t="s">
        <v>1294</v>
      </c>
      <c r="G161" s="6" t="s">
        <v>1279</v>
      </c>
      <c r="H161" s="4" t="s">
        <v>1389</v>
      </c>
      <c r="I161" s="8" t="s">
        <v>1390</v>
      </c>
      <c r="J161" s="7" t="s">
        <v>910</v>
      </c>
      <c r="K161" s="9" t="str">
        <f aca="false">LEFT(J161,3)</f>
        <v>T49</v>
      </c>
      <c r="L161" s="7"/>
      <c r="M161" s="9" t="str">
        <f aca="false">IF(L161="",K161,K161&amp;"; "&amp;L161)</f>
        <v>T49</v>
      </c>
      <c r="N161" s="9" t="str">
        <f aca="false">INDEX('Taxonomía temas'!$D$2:$D$54,MATCH(K161,'Taxonomía temas'!$A$2:$A$54,0))</f>
        <v>Estado, gobierno y derechos</v>
      </c>
      <c r="O161" s="9" t="n">
        <f aca="false">INDEX('Taxonomía temas'!$F$2:$F$54,MATCH(K161,'Taxonomía temas'!$A$2:$A$54,0))</f>
        <v>17</v>
      </c>
      <c r="P161" s="7"/>
      <c r="Q161" s="7" t="s">
        <v>94</v>
      </c>
      <c r="R161" s="7" t="s">
        <v>68</v>
      </c>
      <c r="S161" s="7" t="s">
        <v>68</v>
      </c>
      <c r="T161" s="7" t="s">
        <v>68</v>
      </c>
      <c r="U161" s="7" t="s">
        <v>68</v>
      </c>
      <c r="V161" s="7"/>
      <c r="W161" s="9" t="str">
        <f aca="false">IF(V161="","No","Sí")</f>
        <v>No</v>
      </c>
      <c r="X161" s="6"/>
      <c r="Y161" s="6"/>
      <c r="Z161" s="6" t="s">
        <v>1307</v>
      </c>
      <c r="AA161" s="6" t="s">
        <v>1391</v>
      </c>
      <c r="AB161" s="6" t="s">
        <v>1289</v>
      </c>
      <c r="AC161" s="6"/>
      <c r="AD161" s="6"/>
      <c r="AE161" s="6" t="s">
        <v>1290</v>
      </c>
    </row>
    <row r="162" customFormat="false" ht="23.85" hidden="false" customHeight="false" outlineLevel="0" collapsed="false">
      <c r="A162" s="6" t="s">
        <v>1392</v>
      </c>
      <c r="B162" s="4" t="s">
        <v>1393</v>
      </c>
      <c r="C162" s="6" t="s">
        <v>1394</v>
      </c>
      <c r="D162" s="7" t="s">
        <v>1279</v>
      </c>
      <c r="E162" s="6" t="s">
        <v>1280</v>
      </c>
      <c r="F162" s="6" t="s">
        <v>323</v>
      </c>
      <c r="G162" s="6" t="s">
        <v>1279</v>
      </c>
      <c r="H162" s="4" t="s">
        <v>1395</v>
      </c>
      <c r="I162" s="8" t="s">
        <v>1396</v>
      </c>
      <c r="J162" s="7" t="s">
        <v>910</v>
      </c>
      <c r="K162" s="9" t="str">
        <f aca="false">LEFT(J162,3)</f>
        <v>T49</v>
      </c>
      <c r="L162" s="7"/>
      <c r="M162" s="9" t="str">
        <f aca="false">IF(L162="",K162,K162&amp;"; "&amp;L162)</f>
        <v>T49</v>
      </c>
      <c r="N162" s="9" t="str">
        <f aca="false">INDEX('Taxonomía temas'!$D$2:$D$54,MATCH(K162,'Taxonomía temas'!$A$2:$A$54,0))</f>
        <v>Estado, gobierno y derechos</v>
      </c>
      <c r="O162" s="9" t="n">
        <f aca="false">INDEX('Taxonomía temas'!$F$2:$F$54,MATCH(K162,'Taxonomía temas'!$A$2:$A$54,0))</f>
        <v>17</v>
      </c>
      <c r="P162" s="7"/>
      <c r="Q162" s="7" t="s">
        <v>326</v>
      </c>
      <c r="R162" s="7" t="s">
        <v>224</v>
      </c>
      <c r="S162" s="7" t="s">
        <v>224</v>
      </c>
      <c r="T162" s="7" t="s">
        <v>68</v>
      </c>
      <c r="U162" s="7" t="s">
        <v>68</v>
      </c>
      <c r="V162" s="7"/>
      <c r="W162" s="9" t="str">
        <f aca="false">IF(V162="","No","Sí")</f>
        <v>No</v>
      </c>
      <c r="X162" s="6"/>
      <c r="Y162" s="6"/>
      <c r="Z162" s="6" t="s">
        <v>1307</v>
      </c>
      <c r="AA162" s="6" t="s">
        <v>1396</v>
      </c>
      <c r="AB162" s="6" t="s">
        <v>1289</v>
      </c>
      <c r="AC162" s="6"/>
      <c r="AD162" s="6"/>
      <c r="AE162" s="6" t="s">
        <v>1290</v>
      </c>
    </row>
    <row r="163" customFormat="false" ht="23.85" hidden="false" customHeight="false" outlineLevel="0" collapsed="false">
      <c r="A163" s="6" t="s">
        <v>1397</v>
      </c>
      <c r="B163" s="4" t="s">
        <v>1398</v>
      </c>
      <c r="C163" s="6" t="s">
        <v>1399</v>
      </c>
      <c r="D163" s="7" t="s">
        <v>1279</v>
      </c>
      <c r="E163" s="6" t="s">
        <v>1280</v>
      </c>
      <c r="F163" s="6" t="s">
        <v>323</v>
      </c>
      <c r="G163" s="6" t="s">
        <v>1279</v>
      </c>
      <c r="H163" s="4" t="s">
        <v>1400</v>
      </c>
      <c r="I163" s="8" t="s">
        <v>1401</v>
      </c>
      <c r="J163" s="7" t="s">
        <v>365</v>
      </c>
      <c r="K163" s="9" t="str">
        <f aca="false">LEFT(J163,3)</f>
        <v>T22</v>
      </c>
      <c r="L163" s="7" t="s">
        <v>1402</v>
      </c>
      <c r="M163" s="9" t="str">
        <f aca="false">IF(L163="",K163,K163&amp;"; "&amp;L163)</f>
        <v>T22; T23; T24</v>
      </c>
      <c r="N163" s="9" t="str">
        <f aca="false">INDEX('Taxonomía temas'!$D$2:$D$54,MATCH(K163,'Taxonomía temas'!$A$2:$A$54,0))</f>
        <v>Salud y población</v>
      </c>
      <c r="O163" s="9" t="n">
        <f aca="false">INDEX('Taxonomía temas'!$F$2:$F$54,MATCH(K163,'Taxonomía temas'!$A$2:$A$54,0))</f>
        <v>3</v>
      </c>
      <c r="P163" s="7"/>
      <c r="Q163" s="7" t="s">
        <v>326</v>
      </c>
      <c r="R163" s="7" t="s">
        <v>224</v>
      </c>
      <c r="S163" s="7" t="s">
        <v>224</v>
      </c>
      <c r="T163" s="7" t="s">
        <v>68</v>
      </c>
      <c r="U163" s="7" t="s">
        <v>68</v>
      </c>
      <c r="V163" s="7"/>
      <c r="W163" s="9" t="str">
        <f aca="false">IF(V163="","No","Sí")</f>
        <v>No</v>
      </c>
      <c r="X163" s="6"/>
      <c r="Y163" s="6"/>
      <c r="Z163" s="6" t="s">
        <v>1307</v>
      </c>
      <c r="AA163" s="6" t="s">
        <v>1401</v>
      </c>
      <c r="AB163" s="6" t="s">
        <v>1289</v>
      </c>
      <c r="AC163" s="6"/>
      <c r="AD163" s="6"/>
      <c r="AE163" s="6" t="s">
        <v>1290</v>
      </c>
    </row>
    <row r="164" customFormat="false" ht="23.85" hidden="false" customHeight="false" outlineLevel="0" collapsed="false">
      <c r="A164" s="6" t="s">
        <v>1403</v>
      </c>
      <c r="B164" s="4" t="s">
        <v>1404</v>
      </c>
      <c r="C164" s="6" t="s">
        <v>1405</v>
      </c>
      <c r="D164" s="7" t="s">
        <v>1279</v>
      </c>
      <c r="E164" s="6" t="s">
        <v>1280</v>
      </c>
      <c r="F164" s="6" t="s">
        <v>323</v>
      </c>
      <c r="G164" s="6" t="s">
        <v>1279</v>
      </c>
      <c r="H164" s="4" t="s">
        <v>1406</v>
      </c>
      <c r="I164" s="8" t="s">
        <v>1407</v>
      </c>
      <c r="J164" s="7" t="s">
        <v>65</v>
      </c>
      <c r="K164" s="9" t="str">
        <f aca="false">LEFT(J164,3)</f>
        <v>T04</v>
      </c>
      <c r="L164" s="7" t="s">
        <v>1408</v>
      </c>
      <c r="M164" s="9" t="str">
        <f aca="false">IF(L164="",K164,K164&amp;"; "&amp;L164)</f>
        <v>T04; T20</v>
      </c>
      <c r="N164" s="9" t="str">
        <f aca="false">INDEX('Taxonomía temas'!$D$2:$D$54,MATCH(K164,'Taxonomía temas'!$A$2:$A$54,0))</f>
        <v>Economía y producción</v>
      </c>
      <c r="O164" s="9" t="n">
        <f aca="false">INDEX('Taxonomía temas'!$F$2:$F$54,MATCH(K164,'Taxonomía temas'!$A$2:$A$54,0))</f>
        <v>2</v>
      </c>
      <c r="P164" s="7"/>
      <c r="Q164" s="7" t="s">
        <v>326</v>
      </c>
      <c r="R164" s="7" t="s">
        <v>224</v>
      </c>
      <c r="S164" s="7" t="s">
        <v>224</v>
      </c>
      <c r="T164" s="7" t="s">
        <v>68</v>
      </c>
      <c r="U164" s="7" t="s">
        <v>68</v>
      </c>
      <c r="V164" s="7"/>
      <c r="W164" s="9" t="str">
        <f aca="false">IF(V164="","No","Sí")</f>
        <v>No</v>
      </c>
      <c r="X164" s="6"/>
      <c r="Y164" s="6"/>
      <c r="Z164" s="6" t="s">
        <v>1307</v>
      </c>
      <c r="AA164" s="6" t="s">
        <v>1407</v>
      </c>
      <c r="AB164" s="6" t="s">
        <v>1289</v>
      </c>
      <c r="AC164" s="6"/>
      <c r="AD164" s="6"/>
      <c r="AE164" s="6" t="s">
        <v>1290</v>
      </c>
    </row>
    <row r="165" customFormat="false" ht="23.85" hidden="false" customHeight="false" outlineLevel="0" collapsed="false">
      <c r="A165" s="6" t="s">
        <v>1409</v>
      </c>
      <c r="B165" s="4" t="s">
        <v>1410</v>
      </c>
      <c r="C165" s="6" t="s">
        <v>1411</v>
      </c>
      <c r="D165" s="7" t="s">
        <v>1279</v>
      </c>
      <c r="E165" s="6" t="s">
        <v>1280</v>
      </c>
      <c r="F165" s="6" t="s">
        <v>1294</v>
      </c>
      <c r="G165" s="6" t="s">
        <v>1279</v>
      </c>
      <c r="H165" s="4" t="s">
        <v>1412</v>
      </c>
      <c r="I165" s="8" t="s">
        <v>1413</v>
      </c>
      <c r="J165" s="7" t="s">
        <v>1136</v>
      </c>
      <c r="K165" s="9" t="str">
        <f aca="false">LEFT(J165,3)</f>
        <v>T43</v>
      </c>
      <c r="L165" s="7" t="s">
        <v>1414</v>
      </c>
      <c r="M165" s="9" t="str">
        <f aca="false">IF(L165="",K165,K165&amp;"; "&amp;L165)</f>
        <v>T43; T10</v>
      </c>
      <c r="N165" s="9" t="str">
        <f aca="false">INDEX('Taxonomía temas'!$D$2:$D$54,MATCH(K165,'Taxonomía temas'!$A$2:$A$54,0))</f>
        <v>Estado, gobierno y derechos</v>
      </c>
      <c r="O165" s="9" t="n">
        <f aca="false">INDEX('Taxonomía temas'!$F$2:$F$54,MATCH(K165,'Taxonomía temas'!$A$2:$A$54,0))</f>
        <v>16</v>
      </c>
      <c r="P165" s="7"/>
      <c r="Q165" s="7" t="s">
        <v>94</v>
      </c>
      <c r="R165" s="7" t="s">
        <v>68</v>
      </c>
      <c r="S165" s="7" t="s">
        <v>68</v>
      </c>
      <c r="T165" s="7" t="s">
        <v>68</v>
      </c>
      <c r="U165" s="7" t="s">
        <v>68</v>
      </c>
      <c r="V165" s="7"/>
      <c r="W165" s="9" t="str">
        <f aca="false">IF(V165="","No","Sí")</f>
        <v>No</v>
      </c>
      <c r="X165" s="6"/>
      <c r="Y165" s="6"/>
      <c r="Z165" s="6" t="s">
        <v>1307</v>
      </c>
      <c r="AA165" s="6" t="s">
        <v>1413</v>
      </c>
      <c r="AB165" s="6" t="s">
        <v>1289</v>
      </c>
      <c r="AC165" s="6"/>
      <c r="AD165" s="6"/>
      <c r="AE165" s="6" t="s">
        <v>1290</v>
      </c>
    </row>
    <row r="166" customFormat="false" ht="15" hidden="false" customHeight="false" outlineLevel="0" collapsed="false">
      <c r="A166" s="6" t="s">
        <v>1415</v>
      </c>
      <c r="B166" s="4" t="s">
        <v>1416</v>
      </c>
      <c r="C166" s="6" t="s">
        <v>1417</v>
      </c>
      <c r="D166" s="7" t="s">
        <v>1279</v>
      </c>
      <c r="E166" s="6" t="s">
        <v>1280</v>
      </c>
      <c r="F166" s="6" t="s">
        <v>406</v>
      </c>
      <c r="G166" s="6" t="s">
        <v>1279</v>
      </c>
      <c r="H166" s="4" t="s">
        <v>1418</v>
      </c>
      <c r="I166" s="8" t="s">
        <v>1419</v>
      </c>
      <c r="J166" s="7" t="s">
        <v>129</v>
      </c>
      <c r="K166" s="9" t="str">
        <f aca="false">LEFT(J166,3)</f>
        <v>T10</v>
      </c>
      <c r="L166" s="7"/>
      <c r="M166" s="9" t="str">
        <f aca="false">IF(L166="",K166,K166&amp;"; "&amp;L166)</f>
        <v>T10</v>
      </c>
      <c r="N166" s="9" t="str">
        <f aca="false">INDEX('Taxonomía temas'!$D$2:$D$54,MATCH(K166,'Taxonomía temas'!$A$2:$A$54,0))</f>
        <v>Ciencia, tecnología e innovación</v>
      </c>
      <c r="O166" s="9" t="n">
        <f aca="false">INDEX('Taxonomía temas'!$F$2:$F$54,MATCH(K166,'Taxonomía temas'!$A$2:$A$54,0))</f>
        <v>9</v>
      </c>
      <c r="P166" s="7"/>
      <c r="Q166" s="7" t="s">
        <v>94</v>
      </c>
      <c r="R166" s="7" t="s">
        <v>224</v>
      </c>
      <c r="S166" s="7" t="s">
        <v>68</v>
      </c>
      <c r="T166" s="7" t="s">
        <v>68</v>
      </c>
      <c r="U166" s="7" t="s">
        <v>68</v>
      </c>
      <c r="V166" s="7"/>
      <c r="W166" s="9" t="str">
        <f aca="false">IF(V166="","No","Sí")</f>
        <v>No</v>
      </c>
      <c r="X166" s="6"/>
      <c r="Y166" s="6"/>
      <c r="Z166" s="6" t="s">
        <v>1307</v>
      </c>
      <c r="AA166" s="6" t="s">
        <v>1419</v>
      </c>
      <c r="AB166" s="6" t="s">
        <v>1289</v>
      </c>
      <c r="AC166" s="6"/>
      <c r="AD166" s="6"/>
      <c r="AE166" s="6" t="s">
        <v>1290</v>
      </c>
    </row>
    <row r="167" customFormat="false" ht="23.85" hidden="false" customHeight="false" outlineLevel="0" collapsed="false">
      <c r="A167" s="6" t="s">
        <v>1420</v>
      </c>
      <c r="B167" s="4" t="s">
        <v>1421</v>
      </c>
      <c r="C167" s="6" t="s">
        <v>1394</v>
      </c>
      <c r="D167" s="7" t="s">
        <v>1279</v>
      </c>
      <c r="E167" s="6" t="s">
        <v>1280</v>
      </c>
      <c r="F167" s="6" t="s">
        <v>323</v>
      </c>
      <c r="G167" s="6" t="s">
        <v>1279</v>
      </c>
      <c r="H167" s="4" t="s">
        <v>1422</v>
      </c>
      <c r="I167" s="8" t="s">
        <v>1423</v>
      </c>
      <c r="J167" s="7" t="s">
        <v>82</v>
      </c>
      <c r="K167" s="9" t="str">
        <f aca="false">LEFT(J167,3)</f>
        <v>T03</v>
      </c>
      <c r="L167" s="7"/>
      <c r="M167" s="9" t="str">
        <f aca="false">IF(L167="",K167,K167&amp;"; "&amp;L167)</f>
        <v>T03</v>
      </c>
      <c r="N167" s="9" t="str">
        <f aca="false">INDEX('Taxonomía temas'!$D$2:$D$54,MATCH(K167,'Taxonomía temas'!$A$2:$A$54,0))</f>
        <v>Economía y producción</v>
      </c>
      <c r="O167" s="9" t="n">
        <f aca="false">INDEX('Taxonomía temas'!$F$2:$F$54,MATCH(K167,'Taxonomía temas'!$A$2:$A$54,0))</f>
        <v>17</v>
      </c>
      <c r="P167" s="7"/>
      <c r="Q167" s="7" t="s">
        <v>326</v>
      </c>
      <c r="R167" s="7" t="s">
        <v>224</v>
      </c>
      <c r="S167" s="7" t="s">
        <v>224</v>
      </c>
      <c r="T167" s="7" t="s">
        <v>68</v>
      </c>
      <c r="U167" s="7" t="s">
        <v>68</v>
      </c>
      <c r="V167" s="7"/>
      <c r="W167" s="9" t="str">
        <f aca="false">IF(V167="","No","Sí")</f>
        <v>No</v>
      </c>
      <c r="X167" s="6"/>
      <c r="Y167" s="6"/>
      <c r="Z167" s="6" t="s">
        <v>1307</v>
      </c>
      <c r="AA167" s="6" t="s">
        <v>1423</v>
      </c>
      <c r="AB167" s="6" t="s">
        <v>1289</v>
      </c>
      <c r="AC167" s="6"/>
      <c r="AD167" s="6"/>
      <c r="AE167" s="6" t="s">
        <v>1290</v>
      </c>
    </row>
    <row r="168" customFormat="false" ht="23.85" hidden="false" customHeight="false" outlineLevel="0" collapsed="false">
      <c r="A168" s="6" t="s">
        <v>1424</v>
      </c>
      <c r="B168" s="4" t="s">
        <v>1425</v>
      </c>
      <c r="C168" s="6" t="s">
        <v>1426</v>
      </c>
      <c r="D168" s="7" t="s">
        <v>1279</v>
      </c>
      <c r="E168" s="6" t="s">
        <v>1427</v>
      </c>
      <c r="F168" s="6" t="s">
        <v>1281</v>
      </c>
      <c r="G168" s="6" t="s">
        <v>1279</v>
      </c>
      <c r="H168" s="4" t="s">
        <v>1428</v>
      </c>
      <c r="I168" s="8" t="s">
        <v>1429</v>
      </c>
      <c r="J168" s="7" t="s">
        <v>705</v>
      </c>
      <c r="K168" s="9" t="str">
        <f aca="false">LEFT(J168,3)</f>
        <v>T35</v>
      </c>
      <c r="L168" s="7" t="s">
        <v>1430</v>
      </c>
      <c r="M168" s="9" t="str">
        <f aca="false">IF(L168="",K168,K168&amp;"; "&amp;L168)</f>
        <v>T35; T34</v>
      </c>
      <c r="N168" s="9" t="str">
        <f aca="false">INDEX('Taxonomía temas'!$D$2:$D$54,MATCH(K168,'Taxonomía temas'!$A$2:$A$54,0))</f>
        <v>Ambiente, energía y clima</v>
      </c>
      <c r="O168" s="9" t="n">
        <f aca="false">INDEX('Taxonomía temas'!$F$2:$F$54,MATCH(K168,'Taxonomía temas'!$A$2:$A$54,0))</f>
        <v>13</v>
      </c>
      <c r="P168" s="7"/>
      <c r="Q168" s="7" t="s">
        <v>177</v>
      </c>
      <c r="R168" s="7" t="s">
        <v>224</v>
      </c>
      <c r="S168" s="7" t="s">
        <v>68</v>
      </c>
      <c r="T168" s="7" t="s">
        <v>68</v>
      </c>
      <c r="U168" s="7" t="s">
        <v>68</v>
      </c>
      <c r="V168" s="7"/>
      <c r="W168" s="9" t="str">
        <f aca="false">IF(V168="","No","Sí")</f>
        <v>No</v>
      </c>
      <c r="X168" s="6"/>
      <c r="Y168" s="6"/>
      <c r="Z168" s="6" t="s">
        <v>1307</v>
      </c>
      <c r="AA168" s="6" t="s">
        <v>1431</v>
      </c>
      <c r="AB168" s="6" t="s">
        <v>1289</v>
      </c>
      <c r="AC168" s="6"/>
      <c r="AD168" s="6"/>
      <c r="AE168" s="6" t="s">
        <v>1290</v>
      </c>
    </row>
    <row r="169" customFormat="false" ht="23.85" hidden="false" customHeight="false" outlineLevel="0" collapsed="false">
      <c r="A169" s="6" t="s">
        <v>1432</v>
      </c>
      <c r="B169" s="4" t="s">
        <v>1433</v>
      </c>
      <c r="C169" s="6" t="s">
        <v>1434</v>
      </c>
      <c r="D169" s="7" t="s">
        <v>60</v>
      </c>
      <c r="E169" s="6" t="s">
        <v>61</v>
      </c>
      <c r="F169" s="6" t="s">
        <v>62</v>
      </c>
      <c r="G169" s="6" t="s">
        <v>60</v>
      </c>
      <c r="H169" s="4" t="s">
        <v>1435</v>
      </c>
      <c r="I169" s="8" t="s">
        <v>1436</v>
      </c>
      <c r="J169" s="7" t="s">
        <v>129</v>
      </c>
      <c r="K169" s="9" t="str">
        <f aca="false">LEFT(J169,3)</f>
        <v>T10</v>
      </c>
      <c r="L169" s="7" t="s">
        <v>1095</v>
      </c>
      <c r="M169" s="9" t="str">
        <f aca="false">IF(L169="",K169,K169&amp;"; "&amp;L169)</f>
        <v>T10; T44</v>
      </c>
      <c r="N169" s="9" t="str">
        <f aca="false">INDEX('Taxonomía temas'!$D$2:$D$54,MATCH(K169,'Taxonomía temas'!$A$2:$A$54,0))</f>
        <v>Ciencia, tecnología e innovación</v>
      </c>
      <c r="O169" s="9" t="n">
        <f aca="false">INDEX('Taxonomía temas'!$F$2:$F$54,MATCH(K169,'Taxonomía temas'!$A$2:$A$54,0))</f>
        <v>9</v>
      </c>
      <c r="P169" s="7"/>
      <c r="Q169" s="7" t="s">
        <v>67</v>
      </c>
      <c r="R169" s="7" t="s">
        <v>68</v>
      </c>
      <c r="S169" s="7" t="s">
        <v>68</v>
      </c>
      <c r="T169" s="7" t="s">
        <v>68</v>
      </c>
      <c r="U169" s="7" t="s">
        <v>68</v>
      </c>
      <c r="V169" s="7" t="s">
        <v>1437</v>
      </c>
      <c r="W169" s="9" t="str">
        <f aca="false">IF(V169="","No","Sí")</f>
        <v>Sí</v>
      </c>
      <c r="X169" s="6" t="s">
        <v>1438</v>
      </c>
      <c r="Y169" s="6"/>
      <c r="Z169" s="6" t="s">
        <v>1439</v>
      </c>
      <c r="AA169" s="6" t="s">
        <v>1436</v>
      </c>
      <c r="AB169" s="6" t="s">
        <v>1289</v>
      </c>
      <c r="AC169" s="6"/>
      <c r="AD169" s="6"/>
      <c r="AE169" s="6" t="s">
        <v>1290</v>
      </c>
    </row>
    <row r="170" customFormat="false" ht="23.85" hidden="false" customHeight="false" outlineLevel="0" collapsed="false">
      <c r="A170" s="6" t="s">
        <v>1440</v>
      </c>
      <c r="B170" s="4" t="s">
        <v>1441</v>
      </c>
      <c r="C170" s="6" t="s">
        <v>1442</v>
      </c>
      <c r="D170" s="7" t="s">
        <v>60</v>
      </c>
      <c r="E170" s="6" t="s">
        <v>61</v>
      </c>
      <c r="F170" s="6" t="s">
        <v>62</v>
      </c>
      <c r="G170" s="6" t="s">
        <v>60</v>
      </c>
      <c r="H170" s="4" t="s">
        <v>1443</v>
      </c>
      <c r="I170" s="8" t="s">
        <v>1444</v>
      </c>
      <c r="J170" s="7" t="s">
        <v>1445</v>
      </c>
      <c r="K170" s="9" t="str">
        <f aca="false">LEFT(J170,3)</f>
        <v>T19</v>
      </c>
      <c r="L170" s="7" t="s">
        <v>615</v>
      </c>
      <c r="M170" s="9" t="str">
        <f aca="false">IF(L170="",K170,K170&amp;"; "&amp;L170)</f>
        <v>T19; T18</v>
      </c>
      <c r="N170" s="9" t="str">
        <f aca="false">INDEX('Taxonomía temas'!$D$2:$D$54,MATCH(K170,'Taxonomía temas'!$A$2:$A$54,0))</f>
        <v>Trabajo y protección social</v>
      </c>
      <c r="O170" s="9" t="n">
        <f aca="false">INDEX('Taxonomía temas'!$F$2:$F$54,MATCH(K170,'Taxonomía temas'!$A$2:$A$54,0))</f>
        <v>5</v>
      </c>
      <c r="P170" s="7" t="s">
        <v>1446</v>
      </c>
      <c r="Q170" s="7" t="s">
        <v>94</v>
      </c>
      <c r="R170" s="7" t="s">
        <v>68</v>
      </c>
      <c r="S170" s="7" t="s">
        <v>68</v>
      </c>
      <c r="T170" s="7" t="s">
        <v>68</v>
      </c>
      <c r="U170" s="7" t="s">
        <v>68</v>
      </c>
      <c r="V170" s="7"/>
      <c r="W170" s="9" t="str">
        <f aca="false">IF(V170="","No","Sí")</f>
        <v>No</v>
      </c>
      <c r="X170" s="6"/>
      <c r="Y170" s="6"/>
      <c r="Z170" s="6" t="s">
        <v>1447</v>
      </c>
      <c r="AA170" s="6" t="s">
        <v>1448</v>
      </c>
      <c r="AB170" s="6" t="s">
        <v>1289</v>
      </c>
      <c r="AC170" s="6"/>
      <c r="AD170" s="6"/>
      <c r="AE170" s="6" t="s">
        <v>1290</v>
      </c>
    </row>
    <row r="171" customFormat="false" ht="23.85" hidden="false" customHeight="false" outlineLevel="0" collapsed="false">
      <c r="A171" s="6" t="s">
        <v>1449</v>
      </c>
      <c r="B171" s="4" t="s">
        <v>1450</v>
      </c>
      <c r="C171" s="6" t="s">
        <v>1451</v>
      </c>
      <c r="D171" s="7" t="s">
        <v>60</v>
      </c>
      <c r="E171" s="6" t="s">
        <v>61</v>
      </c>
      <c r="F171" s="6" t="s">
        <v>323</v>
      </c>
      <c r="G171" s="6" t="s">
        <v>60</v>
      </c>
      <c r="H171" s="4" t="s">
        <v>1452</v>
      </c>
      <c r="I171" s="8" t="s">
        <v>1453</v>
      </c>
      <c r="J171" s="7" t="s">
        <v>1305</v>
      </c>
      <c r="K171" s="9" t="str">
        <f aca="false">LEFT(J171,3)</f>
        <v>T12</v>
      </c>
      <c r="L171" s="7" t="s">
        <v>1306</v>
      </c>
      <c r="M171" s="9" t="str">
        <f aca="false">IF(L171="",K171,K171&amp;"; "&amp;L171)</f>
        <v>T12; T11</v>
      </c>
      <c r="N171" s="9" t="str">
        <f aca="false">INDEX('Taxonomía temas'!$D$2:$D$54,MATCH(K171,'Taxonomía temas'!$A$2:$A$54,0))</f>
        <v>Ciencia, tecnología e innovación</v>
      </c>
      <c r="O171" s="9" t="n">
        <f aca="false">INDEX('Taxonomía temas'!$F$2:$F$54,MATCH(K171,'Taxonomía temas'!$A$2:$A$54,0))</f>
        <v>9</v>
      </c>
      <c r="P171" s="7"/>
      <c r="Q171" s="7" t="s">
        <v>326</v>
      </c>
      <c r="R171" s="7" t="s">
        <v>68</v>
      </c>
      <c r="S171" s="7" t="s">
        <v>68</v>
      </c>
      <c r="T171" s="7" t="s">
        <v>68</v>
      </c>
      <c r="U171" s="7" t="s">
        <v>68</v>
      </c>
      <c r="V171" s="7"/>
      <c r="W171" s="9" t="str">
        <f aca="false">IF(V171="","No","Sí")</f>
        <v>No</v>
      </c>
      <c r="X171" s="6"/>
      <c r="Y171" s="6"/>
      <c r="Z171" s="6" t="s">
        <v>1454</v>
      </c>
      <c r="AA171" s="6" t="s">
        <v>1453</v>
      </c>
      <c r="AB171" s="6" t="s">
        <v>1289</v>
      </c>
      <c r="AC171" s="6"/>
      <c r="AD171" s="6"/>
      <c r="AE171" s="6" t="s">
        <v>1290</v>
      </c>
    </row>
  </sheetData>
  <autoFilter ref="A1:AE171"/>
  <conditionalFormatting sqref="W2:W1000">
    <cfRule type="cellIs" priority="2" operator="equal" aboveAverage="0" equalAverage="0" bottom="0" percent="0" rank="0" text="" dxfId="7">
      <formula>"No"</formula>
    </cfRule>
  </conditionalFormatting>
  <dataValidations count="7">
    <dataValidation allowBlank="true" errorStyle="stop" operator="between" showDropDown="false" showErrorMessage="false" showInputMessage="false" sqref="D2:D1000" type="list">
      <formula1>Listas!$A$2:$A$4</formula1>
      <formula2>0</formula2>
    </dataValidation>
    <dataValidation allowBlank="true" errorStyle="stop" operator="between" showDropDown="false" showErrorMessage="false" showInputMessage="false" sqref="J2:J1000" type="list">
      <formula1>'Taxonomía temas'!$B$2:$B$54</formula1>
      <formula2>0</formula2>
    </dataValidation>
    <dataValidation allowBlank="true" errorStyle="stop" operator="between" showDropDown="false" showErrorMessage="false" showInputMessage="false" sqref="Q2:Q1000" type="list">
      <formula1>Niveles!$B$2:$B$5</formula1>
      <formula2>0</formula2>
    </dataValidation>
    <dataValidation allowBlank="true" errorStyle="stop" operator="between" showDropDown="false" showErrorMessage="false" showInputMessage="false" sqref="R2:R1000" type="list">
      <formula1>Listas!$B$2:$B$4</formula1>
      <formula2>0</formula2>
    </dataValidation>
    <dataValidation allowBlank="true" errorStyle="stop" operator="between" showDropDown="false" showErrorMessage="false" showInputMessage="false" sqref="S2:S1000" type="list">
      <formula1>Listas!$B$2:$B$4</formula1>
      <formula2>0</formula2>
    </dataValidation>
    <dataValidation allowBlank="true" errorStyle="stop" operator="between" showDropDown="false" showErrorMessage="false" showInputMessage="false" sqref="T2:T1000" type="list">
      <formula1>Listas!$B$2:$B$4</formula1>
      <formula2>0</formula2>
    </dataValidation>
    <dataValidation allowBlank="true" errorStyle="stop" operator="between" showDropDown="false" showErrorMessage="false" showInputMessage="false" sqref="U2:U1000" type="list">
      <formula1>Listas!$B$2:$B$4</formula1>
      <formula2>0</formula2>
    </dataValidation>
  </dataValidations>
  <hyperlinks>
    <hyperlink ref="I2" r:id="rId1" display="https://www.gub.uy/ministerio-ganaderia-agricultura-pesca/opypa"/>
    <hyperlink ref="I3" r:id="rId2" display="https://www.uruguayxxi.gub.uy/es/centro-informacion/"/>
    <hyperlink ref="I4" r:id="rId3" display="https://www.inalog.org.uy/centro-de-informacion/"/>
    <hyperlink ref="I5" r:id="rId4" display="https://www.gub.uy/ministerio-economia-finanzas/datos-y-estadisticas/datos"/>
    <hyperlink ref="I6" r:id="rId5" display="https://www.gub.uy/ministerio-ganaderia-agricultura-pesca/diea"/>
    <hyperlink ref="I7" r:id="rId6" display="https://www.aduanas.gub.uy/innovaportal/v/4239/4/innova.front/estadisticas.html"/>
    <hyperlink ref="I8" r:id="rId7" display="https://www.gub.uy/unidad-reguladora-servicios-comunicaciones/tematica/servicios-telecomunicaciones"/>
    <hyperlink ref="I9" r:id="rId8" display="https://www.bcu.gub.uy/Estadisticas-e-Indicadores/Paginas/default.aspx"/>
    <hyperlink ref="I10" r:id="rId9" display="https://anp.com.uy/index.php/es/inicio/puertos/comerciales/montevideo/estadisticas/estadistica-por-mes-unidad-gestion-de-trafico"/>
    <hyperlink ref="I11" r:id="rId10" display="https://inavi.com.uy/estadisticas/"/>
    <hyperlink ref="I12" r:id="rId11" display="https://sitio.ccu.com.uy/estudios-economicos/"/>
    <hyperlink ref="I13" r:id="rId12" display="https://www.gub.uy/ministerio-ganaderia-agricultura-pesca/pagina-embebida/datos-forestales"/>
    <hyperlink ref="I14" r:id="rId13" display="https://www.inale.org/"/>
    <hyperlink ref="I15" r:id="rId14" display="https://www.ucu.edu.uy/Institucionales/MONITOR-DE-COYUNTURA-uc1457"/>
    <hyperlink ref="I16" r:id="rId15" display="https://www.uruguayxxi.gub.uy/es/centro-informacion/inversor/informes/informes-de-mensual/"/>
    <hyperlink ref="I17" r:id="rId16" display="https://www.uruguayxxi.gub.uy/es/centro-informacion/monitor-macroeconomico/"/>
    <hyperlink ref="I18" r:id="rId17" display="https://monitor.ande.org.uy/home.aspx"/>
    <hyperlink ref="I19" r:id="rId18" display="https://www.ciu.com.uy/monitoreo-industrial/"/>
    <hyperlink ref="I20" r:id="rId19" display="https://oleaginosos.org.uy/observatorio"/>
    <hyperlink ref="I21" r:id="rId20" display="https://www.ucu.edu.uy/Institucionales/OBSERVATORIO-ECONOMICO-DE-SALTO-uc2511"/>
    <hyperlink ref="I22" r:id="rId21" display="https://uam.com.uy/boletin-de-precios-mayoristas/"/>
    <hyperlink ref="I23" r:id="rId22" display="https://observatorio.miem.gub.uy/obs/"/>
    <hyperlink ref="I24" r:id="rId23" display="https://observatorioti.cuti.org.uy/"/>
    <hyperlink ref="I25" r:id="rId24" display="https://www.descubrimontevideo.uy/macrodatos/"/>
    <hyperlink ref="I26" r:id="rId25" display="https://turismo.gub.uy/observatorio/index.html"/>
    <hyperlink ref="I27" r:id="rId26" display="https://www.inac.uy/innovaportal/v/26276/37/innova.bs/publicaciones-informes-y-series"/>
    <hyperlink ref="I28" r:id="rId27" display="https://www.gub.uy/direccion-general-impositiva/datos-y-estadisticas/estadisticas/recaudacion-anual-mensual-impuesto"/>
    <hyperlink ref="I29" r:id="rId28" display="https://www.mgap.gub.uy/SeriesHistoricas/hshistoricas.aspx"/>
    <hyperlink ref="I30" r:id="rId29" display="https://herramientas.uruguayxxi.gub.uy/sistema_de_estadistica/"/>
    <hyperlink ref="I31" r:id="rId30" display="https://www.precios.uy/"/>
    <hyperlink ref="I32" r:id="rId31" display="https://www.snia.gub.uy/dibujos/arbol-de-visores"/>
    <hyperlink ref="I33" r:id="rId32" display="https://dgrn.mgap.gub.uy/js/visores/dgrn/"/>
    <hyperlink ref="I34" r:id="rId33" display="https://atuservicio.uy/"/>
    <hyperlink ref="I35" r:id="rId34" display="https://catalogodatos.gub.uy/organization/instituto-nacional-de-empleo-y-formacion-profesional"/>
    <hyperlink ref="I36" r:id="rId35" display="https://www.gub.uy/ministerio-trabajo-seguridad-social/unidad-estadistica-mtss"/>
    <hyperlink ref="I37" r:id="rId36" display="https://www.gub.uy/ministerio-salud-publica/datos-y-estadisticas/estadisticas/estadisticas-vitales"/>
    <hyperlink ref="I38" r:id="rId37" display="https://www.unicef.org/uruguay/infancia-en-datos"/>
    <hyperlink ref="I39" r:id="rId38" display="https://www.gub.uy/ministerio-salud-publica/personal-salud"/>
    <hyperlink ref="I40" r:id="rId39" display="https://www.inau.gub.uy/documentos/ano-2025"/>
    <hyperlink ref="I41" r:id="rId40" display="https://www.miradordesca.uy/"/>
    <hyperlink ref="I42" r:id="rId41" display="https://hospital.bse.com.uy/portal-hospital/monitor-de-accidentes-de-trabajo"/>
    <hyperlink ref="I43" r:id="rId42" display="https://ircca.gub.uy/recursos-de-informacion/informes-del-mercado-regulado/"/>
    <hyperlink ref="I44" r:id="rId43" location="/" display="https://observatorio.bps.gub.uy/#/"/>
    <hyperlink ref="I45" r:id="rId44" display="https://montevidata.montevideo.gub.uy/cultura"/>
    <hyperlink ref="I46" r:id="rId45" display="https://udelar.edu.uy/observatorio-genero"/>
    <hyperlink ref="I47" r:id="rId46" display="https://montevidata.montevideo.gub.uy/igualdad-de-genero"/>
    <hyperlink ref="I48" r:id="rId47" display="https://oia.org.uy/"/>
    <hyperlink ref="I49" r:id="rId48" display="https://www.rivera.gub.uy/social/observatorio/"/>
    <hyperlink ref="I50" r:id="rId49" display="https://omif.cienciassociales.edu.uy/registros-administrativos/"/>
    <hyperlink ref="I51" r:id="rId50" display="https://montevidata.montevideo.gub.uy/salud"/>
    <hyperlink ref="I52" r:id="rId51" display="https://www.gub.uy/ministerio-desarrollo-social/obsan"/>
    <hyperlink ref="I53" r:id="rId52" display="https://www.observatorioseguridadsocial.org.uy/"/>
    <hyperlink ref="I54" r:id="rId53" display="https://montevidata.montevideo.gub.uy/trabajo"/>
    <hyperlink ref="I55" r:id="rId54" display="https://observatorio.bps.gub.uy/ovess/"/>
    <hyperlink ref="I56" r:id="rId55" display="https://www.gub.uy/ministerio-desarrollo-social/observatorio/violencia-genero"/>
    <hyperlink ref="I57" r:id="rId56" display="https://www.fder.edu.uy/oda"/>
    <hyperlink ref="I58" r:id="rId57" display="https://www.nutricion.edu.uy/?page_id=6614"/>
    <hyperlink ref="I59" r:id="rId58" display="https://observatoriosalud.org.uy/seccion/datos"/>
    <hyperlink ref="I60" r:id="rId59" display="https://www.mysu.org.uy/que-hacemos/observatorio/"/>
    <hyperlink ref="I61" r:id="rId60" display="https://www.gub.uy/ministerio-desarrollo-social/observatorio"/>
    <hyperlink ref="I62" r:id="rId61" display="https://www.gub.uy/junta-nacional-drogas/observatorio-uruguayo-de-drogas"/>
    <hyperlink ref="I63" r:id="rId62" display="https://observatorioenvejecimiento.psico.edu.uy/"/>
    <hyperlink ref="I64" r:id="rId63" display="https://www.odismet.org/uruguay/banco-de-datos/datos-sociodemograficos"/>
    <hyperlink ref="I65" r:id="rId64" display="https://www.gub.uy/ministerio-salud-publica/tematica/indicadores-desempeno-asistencial"/>
    <hyperlink ref="I66" r:id="rId65" display="https://www.gub.uy/ministerio-desarrollo-social/sig"/>
    <hyperlink ref="I67" r:id="rId66" display="https://www.gub.uy/ministerio-industria-energia-mineria/ben"/>
    <hyperlink ref="I68" r:id="rId67" display="https://www.gub.uy/unidad-reguladora-servicios-energia-agua/datos-y-estadisticas/datos-abiertos"/>
    <hyperlink ref="I69" r:id="rId68" display="https://www.ambiente.gub.uy/informacion_hidrica/datos_abiertos.php"/>
    <hyperlink ref="I70" r:id="rId69" display="https://www.ambiente.gub.uy/oan/geoportal/"/>
    <hyperlink ref="I71" r:id="rId70" display="https://www.inia.uy/gras/Clima"/>
    <hyperlink ref="I72" r:id="rId71" display="https://www.inia.uy/gras/Monitoreo-Ambiental"/>
    <hyperlink ref="I73" r:id="rId72" display="https://www.ambiente.gub.uy/oan/indicadores/"/>
    <hyperlink ref="I74" r:id="rId73" display="https://www.inumet.gub.uy/"/>
    <hyperlink ref="I75" r:id="rId74" display="https://adme.uy/controlpanel.php"/>
    <hyperlink ref="I76" r:id="rId75" display="https://uruguay.mapbiomas.org/"/>
    <hyperlink ref="I77" r:id="rId76" display="https://www.gub.uy/sistema-nacional-emergencias/politicas-y-gestion/monitor-integral-riesgos-afectaciones"/>
    <hyperlink ref="I78" r:id="rId77" display="https://montevidata.montevideo.gub.uy/ambiental"/>
    <hyperlink ref="I79" r:id="rId78" display="https://www.ambiente.gub.uy/oan/"/>
    <hyperlink ref="I80" r:id="rId79" display="https://www.ucu.edu.uy/Institucionales/Observatorio-de-Energia-y-Desarrollo-Sustentable-uc839"/>
    <hyperlink ref="I81" r:id="rId80" display="https://cempre.org.uy/observatorio-de-reciclaje-del-uruguay-cempre/"/>
    <hyperlink ref="I82" r:id="rId81" display="https://www.gub.uy/ministerio-ambiente/tramites-y-servicios/servicios/observatorio-hidrologico-nacional"/>
    <hyperlink ref="I83" r:id="rId82" display="https://inia.uy/gras-sigras-web"/>
    <hyperlink ref="I84" r:id="rId83" display="https://catalogodatos.gub.uy/showcase/visualizador-de-objetivos-y-medidas-de-mitigacion-y-adaptacion-ante-el-cambio-climatico"/>
    <hyperlink ref="I85" r:id="rId84" display="https://www.ambiente.gub.uy/visualizador/index.php?vis=cambio-climatico"/>
    <hyperlink ref="I86" r:id="rId85" display="https://visualizadorben.miem.gub.uy/visualizador/api/repos/%3Apublic%3Aorganismos%3Amiem%3Amiem_ben.wcdf/generatedContent"/>
    <hyperlink ref="I87" r:id="rId86" display="https://cempre.org.uy/v-e-r-visualizador-estrategico-de-residuos-3/"/>
    <hyperlink ref="I88" r:id="rId87" display="https://www.ambiente.gub.uy/informacion_hidrica/"/>
    <hyperlink ref="I89" r:id="rId88" display="https://visualpeb.miem.gub.uy/visualPEB/ben"/>
    <hyperlink ref="I90" r:id="rId89" display="https://otu.opp.gub.uy/filtros/buscar_indicadores"/>
    <hyperlink ref="I91" r:id="rId90" display="https://geoportal.mtop.gub.uy/"/>
    <hyperlink ref="I92" r:id="rId91" display="https://igm.gub.uy/geoportal/listado-servicios/"/>
    <hyperlink ref="I93" r:id="rId92" display="https://gis.rivera.gub.uy/"/>
    <hyperlink ref="I94" r:id="rId93" display="https://geoportal.mvot.gub.uy/sitio/portal/inot"/>
    <hyperlink ref="I95" r:id="rId94" display="https://otu.opp.gub.uy/mirador"/>
    <hyperlink ref="I96" r:id="rId95" display="https://montevidata.montevideo.gub.uy/"/>
    <hyperlink ref="I97" r:id="rId96" display="https://montevidata.montevideo.gub.uy/territorial/asentamientos"/>
    <hyperlink ref="I98" r:id="rId97" display="https://montevidata.montevideo.gub.uy/movilidad"/>
    <hyperlink ref="I99" r:id="rId98" display="https://montevidata.montevideo.gub.uy/objetivos-de-desarrollo-sostenible"/>
    <hyperlink ref="I100" r:id="rId99" display="https://montevidata.montevideo.gub.uy/territorial"/>
    <hyperlink ref="I101" r:id="rId100" display="https://sit.mvot.gub.uy/observatorio/indicadores"/>
    <hyperlink ref="I102" r:id="rId101" display="https://otu.opp.gub.uy/"/>
    <hyperlink ref="I103" r:id="rId102" display="https://maldonado.gub.uy/sistema-informacion-geografica"/>
    <hyperlink ref="I104" r:id="rId103" display="https://sig.montevideo.gub.uy/"/>
    <hyperlink ref="I105" r:id="rId104" display="https://geoportal.mvot.gub.uy/sitio/portal/sit"/>
    <hyperlink ref="I106" r:id="rId105" display="https://www.imcanelones.gub.uy/conozca/departamento/sistema-de-informacion-territorial"/>
    <hyperlink ref="I107" r:id="rId106" display="https://visor.catastro.gub.uy/VisorDNC"/>
    <hyperlink ref="I108" r:id="rId107" display="https://www.gub.uy/secretaria-nacional-deporte/comunicacion/noticias/concluyo-primera-etapa-georreferenciacion-espacios-deportivos-snd"/>
    <hyperlink ref="I109" r:id="rId108" display="https://visualizadorgeominero.dinamige.gub.uy/DINAMIGE_mvc2/"/>
    <hyperlink ref="I110" r:id="rId109" display="https://visualizador.ide.uy/ideuy/core/load_public_project/ideuy/"/>
    <hyperlink ref="I111" r:id="rId110" display="https://planeamiento.udelar.edu.uy/portal/publicaciones/estadisticas-basicas/"/>
    <hyperlink ref="I112" r:id="rId111" display="https://www.gub.uy/ministerio-educacion-cultura/estadistica"/>
    <hyperlink ref="I113" r:id="rId112" display="https://planeamiento.udelar.edu.uy/portal/forma-estudiantes/"/>
    <hyperlink ref="I114" r:id="rId113" display="https://mirador.ineed.edu.uy/"/>
    <hyperlink ref="I115" r:id="rId114" display="https://www.anep.edu.uy/monitorutu/servlet/com.monitorutu16.portada"/>
    <hyperlink ref="I116" r:id="rId115" display="https://www.anep.edu.uy/monitor/servlet/portada"/>
    <hyperlink ref="I117" r:id="rId116" display="http://servicios.ces.edu.uy/monitorces/servlet/portada"/>
    <hyperlink ref="I118" r:id="rId117" display="https://observatorio.anep.edu.uy/"/>
    <hyperlink ref="I119" r:id="rId118" display="https://planeamientoeducativo.utu.edu.uy/investigacion/observatorio"/>
    <hyperlink ref="I120" r:id="rId119" display="https://obsymon.anep.edu.uy/inicio"/>
    <hyperlink ref="I121" r:id="rId120" display="https://sig.anep.edu.uy/siganep"/>
    <hyperlink ref="I122" r:id="rId121" display="https://prisma.uy/"/>
    <hyperlink ref="I123" r:id="rId122" display="https://redata.anii.org.uy/"/>
    <hyperlink ref="I124" r:id="rId123" display="https://www4.ine.gub.uy/Anda5/index.php/catalog"/>
    <hyperlink ref="I125" r:id="rId124" display="https://ckan.montevideo.gub.uy/"/>
    <hyperlink ref="I126" r:id="rId125" display="https://catalogodatos.gub.uy/"/>
    <hyperlink ref="I127" r:id="rId126" display="https://www.gub.uy/instituto-nacional-estadistica/censosphv"/>
    <hyperlink ref="I128" r:id="rId127" display="https://www.gub.uy/agencia-reguladora-compras-estatales/datosdecomprasp%C3%BAblicas"/>
    <hyperlink ref="I129" r:id="rId128" display="https://www.gub.uy/corte-electoral/datos-y-estadisticas/estadisticas"/>
    <hyperlink ref="I130" r:id="rId129" display="https://montevidata.montevideo.gub.uy/informacion-y-comunicacion"/>
    <hyperlink ref="I131" r:id="rId130" display="https://miradordegobiernoabierto.agesic.gub.uy/"/>
    <hyperlink ref="I132" r:id="rId131" display="https://observatorio.arce.gub.uy/eportal/iw_IL/web/guest/inicio"/>
    <hyperlink ref="I133" r:id="rId132" display="https://www.gub.uy/oficina-nacional-servicio-civil/laboratorio-observatorio"/>
    <hyperlink ref="I134" r:id="rId133" display="https://montevidata.montevideo.gub.uy/transparencia-0"/>
    <hyperlink ref="I135" r:id="rId134" display="https://www.opp.gub.uy/es/ods-2026"/>
    <hyperlink ref="I136" r:id="rId135" display="https://transparenciapresupuestaria.opp.gub.uy/"/>
    <hyperlink ref="I137" r:id="rId136" display="https://www.gub.uy/instituto-nacional-estadistica/"/>
    <hyperlink ref="I138" r:id="rId137" display="https://www.redatam.org/es/procesar-en-linea/latam/uruguay"/>
    <hyperlink ref="I139" r:id="rId138" display="https://www.gub.uy/instituto-nacional-estadistica/visualizadores"/>
    <hyperlink ref="I140" r:id="rId139" display="https://www.gub.uy/ministerio-interior/violencia-criminalidad"/>
    <hyperlink ref="I141" r:id="rId140" display="https://www.poderjudicial.gub.uy/informacion-estadistica"/>
    <hyperlink ref="I142" r:id="rId141" display="https://www.gub.uy/institucion-nacional-derechos-humanos-uruguay/tematica/observatorio-legislativo"/>
    <hyperlink ref="I143" r:id="rId142" display="https://aplicacionesunasev.presidencia.gub.uy/mapas"/>
    <hyperlink ref="I144" r:id="rId143" display="https://simore.mrree.gub.uy/buscador/home/"/>
    <hyperlink ref="I145" r:id="rId144" display="https://www.gub.uy/fiscalia-general-nacion/comunicacion/noticias/fiscalia-presenta-nuevo-visualizador-datos"/>
    <hyperlink ref="I146" r:id="rId145" display="https://observatorioseguridad.minterior.gub.uy/"/>
    <hyperlink ref="I147" r:id="rId146" display="https://www.wipo.int/innovation-capabilities-navigator/"/>
    <hyperlink ref="I148" r:id="rId147" display="https://www.wipo.int/edocs/gii-ranking/2025/uy.pdf"/>
    <hyperlink ref="I149" r:id="rId148" display="https://www3.wipo.int/ipstats/"/>
    <hyperlink ref="I150" r:id="rId149" display="https://www.ricyt.org/"/>
    <hyperlink ref="I151" r:id="rId150" display="https://databrowser.uis.unesco.org/"/>
    <hyperlink ref="I152" r:id="rId151" display="https://indicelatam.cl/"/>
    <hyperlink ref="I153" r:id="rId152" display="https://www.scimagojr.com/countryrank.php"/>
    <hyperlink ref="I154" r:id="rId153" display="https://atlas.hks.harvard.edu/"/>
    <hyperlink ref="I155" r:id="rId154" display="https://www.gemconsortium.org/economy-profiles/uruguay"/>
    <hyperlink ref="I156" r:id="rId155" display="https://oecd.ai/en/dashboards/countries/Uruguay"/>
    <hyperlink ref="I157" r:id="rId156" display="https://data.worldbank.org/country/uruguay"/>
    <hyperlink ref="I158" r:id="rId157" display="https://statistics.cepal.org/portal/cepalstat/"/>
    <hyperlink ref="I159" r:id="rId158" display="https://ilostat.ilo.org/"/>
    <hyperlink ref="I160" r:id="rId159" display="https://oig.cepal.org/"/>
    <hyperlink ref="I161" r:id="rId160" display="https://dashboards.sdgindex.org/profiles/uruguay"/>
    <hyperlink ref="I162" r:id="rId161" display="https://unstats.un.org/sdgs/dataportal"/>
    <hyperlink ref="I163" r:id="rId162" display="https://www.who.int/data/gho"/>
    <hyperlink ref="I164" r:id="rId163" display="https://www.fao.org/faostat/"/>
    <hyperlink ref="I165" r:id="rId164" display="https://publicadministration.un.org/egovkb/"/>
    <hyperlink ref="I166" r:id="rId165" display="https://datahub.itu.int/"/>
    <hyperlink ref="I167" r:id="rId166" display="https://comtradeplus.un.org/"/>
    <hyperlink ref="I168" r:id="rId167" display="https://www.climatewatchdata.org/countries/URY"/>
    <hyperlink ref="I169" r:id="rId168" display="https://www.gub.uy/agencia-gobierno-electronico-sociedad-informacion-conocimiento/sites/agencia-gobierno-electronico-sociedad-informacion-conocimiento/files/2025-11/_Informe_EUTIC_2025.pdf"/>
    <hyperlink ref="I170" r:id="rId169" display="https://www.gub.uy/sistema-cuidados/datos-y-estadisticas"/>
    <hyperlink ref="I171" r:id="rId170" display="https://www.gub.uy/ministerio-industria-energia-mineria/tramites-y-servicios/servicios/base-publica-marcas-patent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42"/>
    <col collapsed="false" customWidth="true" hidden="false" outlineLevel="0" max="4" min="4" style="0" width="6"/>
    <col collapsed="false" customWidth="true" hidden="false" outlineLevel="0" max="6" min="5" style="0" width="12"/>
    <col collapsed="false" customWidth="true" hidden="false" outlineLevel="0" max="8" min="7" style="0" width="13"/>
    <col collapsed="false" customWidth="true" hidden="false" outlineLevel="0" max="9" min="9" style="0" width="12"/>
    <col collapsed="false" customWidth="true" hidden="false" outlineLevel="0" max="10" min="10" style="0" width="13"/>
    <col collapsed="false" customWidth="true" hidden="false" outlineLevel="0" max="11" min="11" style="0" width="34"/>
    <col collapsed="false" customWidth="true" hidden="false" outlineLevel="0" max="12" min="12" style="0" width="32"/>
    <col collapsed="false" customWidth="true" hidden="false" outlineLevel="0" max="13" min="13" style="0" width="22"/>
  </cols>
  <sheetData>
    <row r="1" customFormat="false" ht="19.7" hidden="false" customHeight="false" outlineLevel="0" collapsed="false">
      <c r="A1" s="1" t="s">
        <v>1455</v>
      </c>
    </row>
    <row r="2" customFormat="false" ht="15" hidden="false" customHeight="false" outlineLevel="0" collapsed="false">
      <c r="A2" s="2" t="s">
        <v>1456</v>
      </c>
    </row>
    <row r="4" customFormat="false" ht="31.5" hidden="false" customHeight="true" outlineLevel="0" collapsed="false">
      <c r="A4" s="5" t="s">
        <v>1457</v>
      </c>
      <c r="B4" s="5" t="s">
        <v>39</v>
      </c>
      <c r="C4" s="5" t="s">
        <v>1458</v>
      </c>
      <c r="D4" s="5" t="s">
        <v>1459</v>
      </c>
      <c r="E4" s="5" t="s">
        <v>1460</v>
      </c>
      <c r="F4" s="5" t="s">
        <v>1461</v>
      </c>
      <c r="G4" s="5" t="s">
        <v>1462</v>
      </c>
      <c r="H4" s="5" t="s">
        <v>1463</v>
      </c>
      <c r="I4" s="5" t="s">
        <v>1464</v>
      </c>
      <c r="J4" s="5" t="s">
        <v>1465</v>
      </c>
      <c r="K4" s="5" t="s">
        <v>1466</v>
      </c>
      <c r="L4" s="5" t="s">
        <v>1467</v>
      </c>
      <c r="M4" s="5" t="s">
        <v>1468</v>
      </c>
    </row>
    <row r="5" customFormat="false" ht="15" hidden="false" customHeight="false" outlineLevel="0" collapsed="false">
      <c r="A5" s="10" t="str">
        <f aca="false">'Taxonomía temas'!A2</f>
        <v>T01</v>
      </c>
      <c r="B5" s="10" t="str">
        <f aca="false">'Taxonomía temas'!D2</f>
        <v>Economía y producción</v>
      </c>
      <c r="C5" s="10" t="str">
        <f aca="false">'Taxonomía temas'!E2</f>
        <v>Macroeconomía y cuentas nacionales</v>
      </c>
      <c r="D5" s="10" t="n">
        <f aca="false">'Taxonomía temas'!F2</f>
        <v>8</v>
      </c>
      <c r="E5" s="10" t="n">
        <f aca="false">COUNTIFS(Inventario!$K$2:$K$1000,A5,Inventario!$D$2:$D$1000,"&lt;&gt;Internacional")</f>
        <v>3</v>
      </c>
      <c r="F5" s="10" t="n">
        <f aca="false">COUNTIFS(Inventario!$M$2:$M$1000,"*"&amp;A5&amp;"*",Inventario!$D$2:$D$1000,"&lt;&gt;Internacional")</f>
        <v>7</v>
      </c>
      <c r="G5" s="10" t="n">
        <f aca="false">COUNTIFS(Inventario!$M$2:$M$1000,"*"&amp;A5&amp;"*",Inventario!$D$2:$D$1000,"&lt;&gt;Internacional",Inventario!$Q$2:$Q$1000,"4*")</f>
        <v>3</v>
      </c>
      <c r="H5" s="10" t="n">
        <f aca="false">COUNTIFS(Inventario!$M$2:$M$1000,"*"&amp;A5&amp;"*",Inventario!$D$2:$D$1000,"&lt;&gt;Internacional",Inventario!$Q$2:$Q$1000,"3*")</f>
        <v>1</v>
      </c>
      <c r="I5" s="10" t="n">
        <f aca="false">COUNTIFS(Inventario!$M$2:$M$1000,"*"&amp;A5&amp;"*",Inventario!$D$2:$D$1000,"&lt;&gt;Internacional",Inventario!$W$2:$W$1000,"Sí")</f>
        <v>4</v>
      </c>
      <c r="J5" s="10" t="n">
        <f aca="false">COUNTIFS(Inventario!$M$2:$M$1000,"*"&amp;A5&amp;"*",Inventario!$D$2:$D$1000,"Internacional")</f>
        <v>2</v>
      </c>
      <c r="K5" s="10" t="str">
        <f aca="false">IF(F5=0,IF(J5&gt;0,"Sin cobertura nacional (solo internacional)","Sin cobertura"),IF(E5=0,"Cobertura indirecta",IF(G5=0,"Cobertura sin análisis","Cobertura con análisis")))</f>
        <v>Cobertura con análisis</v>
      </c>
      <c r="L5" s="10" t="str">
        <f aca="false">IF(E5&gt;=5,"Alta concentración: revisar superposición","")</f>
        <v/>
      </c>
      <c r="M5" s="11" t="str">
        <f aca="false">HYPERLINK("https://catalogodatos.gub.uy/dataset?q="&amp;SUBSTITUTE('Taxonomía temas'!J2," ","+"),"Buscar datasets")</f>
        <v>Buscar datasets</v>
      </c>
    </row>
    <row r="6" customFormat="false" ht="15" hidden="false" customHeight="false" outlineLevel="0" collapsed="false">
      <c r="A6" s="10" t="str">
        <f aca="false">'Taxonomía temas'!A3</f>
        <v>T02</v>
      </c>
      <c r="B6" s="10" t="str">
        <f aca="false">'Taxonomía temas'!D3</f>
        <v>Economía y producción</v>
      </c>
      <c r="C6" s="10" t="str">
        <f aca="false">'Taxonomía temas'!E3</f>
        <v>Finanzas públicas, tributación y presupuesto</v>
      </c>
      <c r="D6" s="10" t="n">
        <f aca="false">'Taxonomía temas'!F3</f>
        <v>17</v>
      </c>
      <c r="E6" s="10" t="n">
        <f aca="false">COUNTIFS(Inventario!$K$2:$K$1000,A6,Inventario!$D$2:$D$1000,"&lt;&gt;Internacional")</f>
        <v>3</v>
      </c>
      <c r="F6" s="10" t="n">
        <f aca="false">COUNTIFS(Inventario!$M$2:$M$1000,"*"&amp;A6&amp;"*",Inventario!$D$2:$D$1000,"&lt;&gt;Internacional")</f>
        <v>6</v>
      </c>
      <c r="G6" s="10" t="n">
        <f aca="false">COUNTIFS(Inventario!$M$2:$M$1000,"*"&amp;A6&amp;"*",Inventario!$D$2:$D$1000,"&lt;&gt;Internacional",Inventario!$Q$2:$Q$1000,"4*")</f>
        <v>1</v>
      </c>
      <c r="H6" s="10" t="n">
        <f aca="false">COUNTIFS(Inventario!$M$2:$M$1000,"*"&amp;A6&amp;"*",Inventario!$D$2:$D$1000,"&lt;&gt;Internacional",Inventario!$Q$2:$Q$1000,"3*")</f>
        <v>2</v>
      </c>
      <c r="I6" s="10" t="n">
        <f aca="false">COUNTIFS(Inventario!$M$2:$M$1000,"*"&amp;A6&amp;"*",Inventario!$D$2:$D$1000,"&lt;&gt;Internacional",Inventario!$W$2:$W$1000,"Sí")</f>
        <v>2</v>
      </c>
      <c r="J6" s="10" t="n">
        <f aca="false">COUNTIFS(Inventario!$M$2:$M$1000,"*"&amp;A6&amp;"*",Inventario!$D$2:$D$1000,"Internacional")</f>
        <v>0</v>
      </c>
      <c r="K6" s="10" t="str">
        <f aca="false">IF(F6=0,IF(J6&gt;0,"Sin cobertura nacional (solo internacional)","Sin cobertura"),IF(E6=0,"Cobertura indirecta",IF(G6=0,"Cobertura sin análisis","Cobertura con análisis")))</f>
        <v>Cobertura con análisis</v>
      </c>
      <c r="L6" s="10" t="str">
        <f aca="false">IF(E6&gt;=5,"Alta concentración: revisar superposición","")</f>
        <v/>
      </c>
      <c r="M6" s="11" t="str">
        <f aca="false">HYPERLINK("https://catalogodatos.gub.uy/dataset?q="&amp;SUBSTITUTE('Taxonomía temas'!J3," ","+"),"Buscar datasets")</f>
        <v>Buscar datasets</v>
      </c>
    </row>
    <row r="7" customFormat="false" ht="15" hidden="false" customHeight="false" outlineLevel="0" collapsed="false">
      <c r="A7" s="10" t="str">
        <f aca="false">'Taxonomía temas'!A4</f>
        <v>T03</v>
      </c>
      <c r="B7" s="10" t="str">
        <f aca="false">'Taxonomía temas'!D4</f>
        <v>Economía y producción</v>
      </c>
      <c r="C7" s="10" t="str">
        <f aca="false">'Taxonomía temas'!E4</f>
        <v>Comercio exterior e inversión</v>
      </c>
      <c r="D7" s="10" t="n">
        <f aca="false">'Taxonomía temas'!F4</f>
        <v>17</v>
      </c>
      <c r="E7" s="10" t="n">
        <f aca="false">COUNTIFS(Inventario!$K$2:$K$1000,A7,Inventario!$D$2:$D$1000,"&lt;&gt;Internacional")</f>
        <v>4</v>
      </c>
      <c r="F7" s="10" t="n">
        <f aca="false">COUNTIFS(Inventario!$M$2:$M$1000,"*"&amp;A7&amp;"*",Inventario!$D$2:$D$1000,"&lt;&gt;Internacional")</f>
        <v>13</v>
      </c>
      <c r="G7" s="10" t="n">
        <f aca="false">COUNTIFS(Inventario!$M$2:$M$1000,"*"&amp;A7&amp;"*",Inventario!$D$2:$D$1000,"&lt;&gt;Internacional",Inventario!$Q$2:$Q$1000,"4*")</f>
        <v>3</v>
      </c>
      <c r="H7" s="10" t="n">
        <f aca="false">COUNTIFS(Inventario!$M$2:$M$1000,"*"&amp;A7&amp;"*",Inventario!$D$2:$D$1000,"&lt;&gt;Internacional",Inventario!$Q$2:$Q$1000,"3*")</f>
        <v>3</v>
      </c>
      <c r="I7" s="10" t="n">
        <f aca="false">COUNTIFS(Inventario!$M$2:$M$1000,"*"&amp;A7&amp;"*",Inventario!$D$2:$D$1000,"&lt;&gt;Internacional",Inventario!$W$2:$W$1000,"Sí")</f>
        <v>8</v>
      </c>
      <c r="J7" s="10" t="n">
        <f aca="false">COUNTIFS(Inventario!$M$2:$M$1000,"*"&amp;A7&amp;"*",Inventario!$D$2:$D$1000,"Internacional")</f>
        <v>3</v>
      </c>
      <c r="K7" s="10" t="str">
        <f aca="false">IF(F7=0,IF(J7&gt;0,"Sin cobertura nacional (solo internacional)","Sin cobertura"),IF(E7=0,"Cobertura indirecta",IF(G7=0,"Cobertura sin análisis","Cobertura con análisis")))</f>
        <v>Cobertura con análisis</v>
      </c>
      <c r="L7" s="10" t="str">
        <f aca="false">IF(E7&gt;=5,"Alta concentración: revisar superposición","")</f>
        <v/>
      </c>
      <c r="M7" s="11" t="str">
        <f aca="false">HYPERLINK("https://catalogodatos.gub.uy/dataset?q="&amp;SUBSTITUTE('Taxonomía temas'!J4," ","+"),"Buscar datasets")</f>
        <v>Buscar datasets</v>
      </c>
    </row>
    <row r="8" customFormat="false" ht="15" hidden="false" customHeight="false" outlineLevel="0" collapsed="false">
      <c r="A8" s="10" t="str">
        <f aca="false">'Taxonomía temas'!A5</f>
        <v>T04</v>
      </c>
      <c r="B8" s="10" t="str">
        <f aca="false">'Taxonomía temas'!D5</f>
        <v>Economía y producción</v>
      </c>
      <c r="C8" s="10" t="str">
        <f aca="false">'Taxonomía temas'!E5</f>
        <v>Agro y cadenas agroindustriales</v>
      </c>
      <c r="D8" s="10" t="n">
        <f aca="false">'Taxonomía temas'!F5</f>
        <v>2</v>
      </c>
      <c r="E8" s="10" t="n">
        <f aca="false">COUNTIFS(Inventario!$K$2:$K$1000,A8,Inventario!$D$2:$D$1000,"&lt;&gt;Internacional")</f>
        <v>11</v>
      </c>
      <c r="F8" s="10" t="n">
        <f aca="false">COUNTIFS(Inventario!$M$2:$M$1000,"*"&amp;A8&amp;"*",Inventario!$D$2:$D$1000,"&lt;&gt;Internacional")</f>
        <v>15</v>
      </c>
      <c r="G8" s="10" t="n">
        <f aca="false">COUNTIFS(Inventario!$M$2:$M$1000,"*"&amp;A8&amp;"*",Inventario!$D$2:$D$1000,"&lt;&gt;Internacional",Inventario!$Q$2:$Q$1000,"4*")</f>
        <v>3</v>
      </c>
      <c r="H8" s="10" t="n">
        <f aca="false">COUNTIFS(Inventario!$M$2:$M$1000,"*"&amp;A8&amp;"*",Inventario!$D$2:$D$1000,"&lt;&gt;Internacional",Inventario!$Q$2:$Q$1000,"3*")</f>
        <v>6</v>
      </c>
      <c r="I8" s="10" t="n">
        <f aca="false">COUNTIFS(Inventario!$M$2:$M$1000,"*"&amp;A8&amp;"*",Inventario!$D$2:$D$1000,"&lt;&gt;Internacional",Inventario!$W$2:$W$1000,"Sí")</f>
        <v>7</v>
      </c>
      <c r="J8" s="10" t="n">
        <f aca="false">COUNTIFS(Inventario!$M$2:$M$1000,"*"&amp;A8&amp;"*",Inventario!$D$2:$D$1000,"Internacional")</f>
        <v>1</v>
      </c>
      <c r="K8" s="10" t="str">
        <f aca="false">IF(F8=0,IF(J8&gt;0,"Sin cobertura nacional (solo internacional)","Sin cobertura"),IF(E8=0,"Cobertura indirecta",IF(G8=0,"Cobertura sin análisis","Cobertura con análisis")))</f>
        <v>Cobertura con análisis</v>
      </c>
      <c r="L8" s="10" t="str">
        <f aca="false">IF(E8&gt;=5,"Alta concentración: revisar superposición","")</f>
        <v>Alta concentración: revisar superposición</v>
      </c>
      <c r="M8" s="11" t="str">
        <f aca="false">HYPERLINK("https://catalogodatos.gub.uy/dataset?q="&amp;SUBSTITUTE('Taxonomía temas'!J5," ","+"),"Buscar datasets")</f>
        <v>Buscar datasets</v>
      </c>
    </row>
    <row r="9" customFormat="false" ht="15" hidden="false" customHeight="false" outlineLevel="0" collapsed="false">
      <c r="A9" s="10" t="str">
        <f aca="false">'Taxonomía temas'!A6</f>
        <v>T05</v>
      </c>
      <c r="B9" s="10" t="str">
        <f aca="false">'Taxonomía temas'!D6</f>
        <v>Economía y producción</v>
      </c>
      <c r="C9" s="10" t="str">
        <f aca="false">'Taxonomía temas'!E6</f>
        <v>Industria y manufactura</v>
      </c>
      <c r="D9" s="10" t="n">
        <f aca="false">'Taxonomía temas'!F6</f>
        <v>9</v>
      </c>
      <c r="E9" s="10" t="n">
        <f aca="false">COUNTIFS(Inventario!$K$2:$K$1000,A9,Inventario!$D$2:$D$1000,"&lt;&gt;Internacional")</f>
        <v>2</v>
      </c>
      <c r="F9" s="10" t="n">
        <f aca="false">COUNTIFS(Inventario!$M$2:$M$1000,"*"&amp;A9&amp;"*",Inventario!$D$2:$D$1000,"&lt;&gt;Internacional")</f>
        <v>2</v>
      </c>
      <c r="G9" s="10" t="n">
        <f aca="false">COUNTIFS(Inventario!$M$2:$M$1000,"*"&amp;A9&amp;"*",Inventario!$D$2:$D$1000,"&lt;&gt;Internacional",Inventario!$Q$2:$Q$1000,"4*")</f>
        <v>1</v>
      </c>
      <c r="H9" s="10" t="n">
        <f aca="false">COUNTIFS(Inventario!$M$2:$M$1000,"*"&amp;A9&amp;"*",Inventario!$D$2:$D$1000,"&lt;&gt;Internacional",Inventario!$Q$2:$Q$1000,"3*")</f>
        <v>1</v>
      </c>
      <c r="I9" s="10" t="n">
        <f aca="false">COUNTIFS(Inventario!$M$2:$M$1000,"*"&amp;A9&amp;"*",Inventario!$D$2:$D$1000,"&lt;&gt;Internacional",Inventario!$W$2:$W$1000,"Sí")</f>
        <v>2</v>
      </c>
      <c r="J9" s="10" t="n">
        <f aca="false">COUNTIFS(Inventario!$M$2:$M$1000,"*"&amp;A9&amp;"*",Inventario!$D$2:$D$1000,"Internacional")</f>
        <v>1</v>
      </c>
      <c r="K9" s="10" t="str">
        <f aca="false">IF(F9=0,IF(J9&gt;0,"Sin cobertura nacional (solo internacional)","Sin cobertura"),IF(E9=0,"Cobertura indirecta",IF(G9=0,"Cobertura sin análisis","Cobertura con análisis")))</f>
        <v>Cobertura con análisis</v>
      </c>
      <c r="L9" s="10" t="str">
        <f aca="false">IF(E9&gt;=5,"Alta concentración: revisar superposición","")</f>
        <v/>
      </c>
      <c r="M9" s="11" t="str">
        <f aca="false">HYPERLINK("https://catalogodatos.gub.uy/dataset?q="&amp;SUBSTITUTE('Taxonomía temas'!J6," ","+"),"Buscar datasets")</f>
        <v>Buscar datasets</v>
      </c>
    </row>
    <row r="10" customFormat="false" ht="15" hidden="false" customHeight="false" outlineLevel="0" collapsed="false">
      <c r="A10" s="10" t="str">
        <f aca="false">'Taxonomía temas'!A7</f>
        <v>T06</v>
      </c>
      <c r="B10" s="10" t="str">
        <f aca="false">'Taxonomía temas'!D7</f>
        <v>Economía y producción</v>
      </c>
      <c r="C10" s="10" t="str">
        <f aca="false">'Taxonomía temas'!E7</f>
        <v>Turismo</v>
      </c>
      <c r="D10" s="10" t="n">
        <f aca="false">'Taxonomía temas'!F7</f>
        <v>8</v>
      </c>
      <c r="E10" s="10" t="n">
        <f aca="false">COUNTIFS(Inventario!$K$2:$K$1000,A10,Inventario!$D$2:$D$1000,"&lt;&gt;Internacional")</f>
        <v>2</v>
      </c>
      <c r="F10" s="10" t="n">
        <f aca="false">COUNTIFS(Inventario!$M$2:$M$1000,"*"&amp;A10&amp;"*",Inventario!$D$2:$D$1000,"&lt;&gt;Internacional")</f>
        <v>2</v>
      </c>
      <c r="G10" s="10" t="n">
        <f aca="false">COUNTIFS(Inventario!$M$2:$M$1000,"*"&amp;A10&amp;"*",Inventario!$D$2:$D$1000,"&lt;&gt;Internacional",Inventario!$Q$2:$Q$1000,"4*")</f>
        <v>1</v>
      </c>
      <c r="H10" s="10" t="n">
        <f aca="false">COUNTIFS(Inventario!$M$2:$M$1000,"*"&amp;A10&amp;"*",Inventario!$D$2:$D$1000,"&lt;&gt;Internacional",Inventario!$Q$2:$Q$1000,"3*")</f>
        <v>1</v>
      </c>
      <c r="I10" s="10" t="n">
        <f aca="false">COUNTIFS(Inventario!$M$2:$M$1000,"*"&amp;A10&amp;"*",Inventario!$D$2:$D$1000,"&lt;&gt;Internacional",Inventario!$W$2:$W$1000,"Sí")</f>
        <v>1</v>
      </c>
      <c r="J10" s="10" t="n">
        <f aca="false">COUNTIFS(Inventario!$M$2:$M$1000,"*"&amp;A10&amp;"*",Inventario!$D$2:$D$1000,"Internacional")</f>
        <v>0</v>
      </c>
      <c r="K10" s="10" t="str">
        <f aca="false">IF(F10=0,IF(J10&gt;0,"Sin cobertura nacional (solo internacional)","Sin cobertura"),IF(E10=0,"Cobertura indirecta",IF(G10=0,"Cobertura sin análisis","Cobertura con análisis")))</f>
        <v>Cobertura con análisis</v>
      </c>
      <c r="L10" s="10" t="str">
        <f aca="false">IF(E10&gt;=5,"Alta concentración: revisar superposición","")</f>
        <v/>
      </c>
      <c r="M10" s="11" t="str">
        <f aca="false">HYPERLINK("https://catalogodatos.gub.uy/dataset?q="&amp;SUBSTITUTE('Taxonomía temas'!J7," ","+"),"Buscar datasets")</f>
        <v>Buscar datasets</v>
      </c>
    </row>
    <row r="11" customFormat="false" ht="15" hidden="false" customHeight="false" outlineLevel="0" collapsed="false">
      <c r="A11" s="10" t="str">
        <f aca="false">'Taxonomía temas'!A8</f>
        <v>T07</v>
      </c>
      <c r="B11" s="10" t="str">
        <f aca="false">'Taxonomía temas'!D8</f>
        <v>Economía y producción</v>
      </c>
      <c r="C11" s="10" t="str">
        <f aca="false">'Taxonomía temas'!E8</f>
        <v>Empresas, mipymes y emprendimiento</v>
      </c>
      <c r="D11" s="10" t="n">
        <f aca="false">'Taxonomía temas'!F8</f>
        <v>8</v>
      </c>
      <c r="E11" s="10" t="n">
        <f aca="false">COUNTIFS(Inventario!$K$2:$K$1000,A11,Inventario!$D$2:$D$1000,"&lt;&gt;Internacional")</f>
        <v>1</v>
      </c>
      <c r="F11" s="10" t="n">
        <f aca="false">COUNTIFS(Inventario!$M$2:$M$1000,"*"&amp;A11&amp;"*",Inventario!$D$2:$D$1000,"&lt;&gt;Internacional")</f>
        <v>4</v>
      </c>
      <c r="G11" s="10" t="n">
        <f aca="false">COUNTIFS(Inventario!$M$2:$M$1000,"*"&amp;A11&amp;"*",Inventario!$D$2:$D$1000,"&lt;&gt;Internacional",Inventario!$Q$2:$Q$1000,"4*")</f>
        <v>2</v>
      </c>
      <c r="H11" s="10" t="n">
        <f aca="false">COUNTIFS(Inventario!$M$2:$M$1000,"*"&amp;A11&amp;"*",Inventario!$D$2:$D$1000,"&lt;&gt;Internacional",Inventario!$Q$2:$Q$1000,"3*")</f>
        <v>2</v>
      </c>
      <c r="I11" s="10" t="n">
        <f aca="false">COUNTIFS(Inventario!$M$2:$M$1000,"*"&amp;A11&amp;"*",Inventario!$D$2:$D$1000,"&lt;&gt;Internacional",Inventario!$W$2:$W$1000,"Sí")</f>
        <v>2</v>
      </c>
      <c r="J11" s="10" t="n">
        <f aca="false">COUNTIFS(Inventario!$M$2:$M$1000,"*"&amp;A11&amp;"*",Inventario!$D$2:$D$1000,"Internacional")</f>
        <v>1</v>
      </c>
      <c r="K11" s="10" t="str">
        <f aca="false">IF(F11=0,IF(J11&gt;0,"Sin cobertura nacional (solo internacional)","Sin cobertura"),IF(E11=0,"Cobertura indirecta",IF(G11=0,"Cobertura sin análisis","Cobertura con análisis")))</f>
        <v>Cobertura con análisis</v>
      </c>
      <c r="L11" s="10" t="str">
        <f aca="false">IF(E11&gt;=5,"Alta concentración: revisar superposición","")</f>
        <v/>
      </c>
      <c r="M11" s="11" t="str">
        <f aca="false">HYPERLINK("https://catalogodatos.gub.uy/dataset?q="&amp;SUBSTITUTE('Taxonomía temas'!J8," ","+"),"Buscar datasets")</f>
        <v>Buscar datasets</v>
      </c>
    </row>
    <row r="12" customFormat="false" ht="15" hidden="false" customHeight="false" outlineLevel="0" collapsed="false">
      <c r="A12" s="10" t="str">
        <f aca="false">'Taxonomía temas'!A9</f>
        <v>T08</v>
      </c>
      <c r="B12" s="10" t="str">
        <f aca="false">'Taxonomía temas'!D9</f>
        <v>Economía y producción</v>
      </c>
      <c r="C12" s="10" t="str">
        <f aca="false">'Taxonomía temas'!E9</f>
        <v>Logística, transporte de cargas e infraestructura</v>
      </c>
      <c r="D12" s="10" t="n">
        <f aca="false">'Taxonomía temas'!F9</f>
        <v>9</v>
      </c>
      <c r="E12" s="10" t="n">
        <f aca="false">COUNTIFS(Inventario!$K$2:$K$1000,A12,Inventario!$D$2:$D$1000,"&lt;&gt;Internacional")</f>
        <v>3</v>
      </c>
      <c r="F12" s="10" t="n">
        <f aca="false">COUNTIFS(Inventario!$M$2:$M$1000,"*"&amp;A12&amp;"*",Inventario!$D$2:$D$1000,"&lt;&gt;Internacional")</f>
        <v>3</v>
      </c>
      <c r="G12" s="10" t="n">
        <f aca="false">COUNTIFS(Inventario!$M$2:$M$1000,"*"&amp;A12&amp;"*",Inventario!$D$2:$D$1000,"&lt;&gt;Internacional",Inventario!$Q$2:$Q$1000,"4*")</f>
        <v>0</v>
      </c>
      <c r="H12" s="10" t="n">
        <f aca="false">COUNTIFS(Inventario!$M$2:$M$1000,"*"&amp;A12&amp;"*",Inventario!$D$2:$D$1000,"&lt;&gt;Internacional",Inventario!$Q$2:$Q$1000,"3*")</f>
        <v>1</v>
      </c>
      <c r="I12" s="10" t="n">
        <f aca="false">COUNTIFS(Inventario!$M$2:$M$1000,"*"&amp;A12&amp;"*",Inventario!$D$2:$D$1000,"&lt;&gt;Internacional",Inventario!$W$2:$W$1000,"Sí")</f>
        <v>1</v>
      </c>
      <c r="J12" s="10" t="n">
        <f aca="false">COUNTIFS(Inventario!$M$2:$M$1000,"*"&amp;A12&amp;"*",Inventario!$D$2:$D$1000,"Internacional")</f>
        <v>0</v>
      </c>
      <c r="K12" s="10" t="str">
        <f aca="false">IF(F12=0,IF(J12&gt;0,"Sin cobertura nacional (solo internacional)","Sin cobertura"),IF(E12=0,"Cobertura indirecta",IF(G12=0,"Cobertura sin análisis","Cobertura con análisis")))</f>
        <v>Cobertura sin análisis</v>
      </c>
      <c r="L12" s="10" t="str">
        <f aca="false">IF(E12&gt;=5,"Alta concentración: revisar superposición","")</f>
        <v/>
      </c>
      <c r="M12" s="11" t="str">
        <f aca="false">HYPERLINK("https://catalogodatos.gub.uy/dataset?q="&amp;SUBSTITUTE('Taxonomía temas'!J9," ","+"),"Buscar datasets")</f>
        <v>Buscar datasets</v>
      </c>
    </row>
    <row r="13" customFormat="false" ht="15" hidden="false" customHeight="false" outlineLevel="0" collapsed="false">
      <c r="A13" s="10" t="str">
        <f aca="false">'Taxonomía temas'!A10</f>
        <v>T09</v>
      </c>
      <c r="B13" s="10" t="str">
        <f aca="false">'Taxonomía temas'!D10</f>
        <v>Economía y producción</v>
      </c>
      <c r="C13" s="10" t="str">
        <f aca="false">'Taxonomía temas'!E10</f>
        <v>Precios, consumo y construcción</v>
      </c>
      <c r="D13" s="10" t="n">
        <f aca="false">'Taxonomía temas'!F10</f>
        <v>12</v>
      </c>
      <c r="E13" s="10" t="n">
        <f aca="false">COUNTIFS(Inventario!$K$2:$K$1000,A13,Inventario!$D$2:$D$1000,"&lt;&gt;Internacional")</f>
        <v>3</v>
      </c>
      <c r="F13" s="10" t="n">
        <f aca="false">COUNTIFS(Inventario!$M$2:$M$1000,"*"&amp;A13&amp;"*",Inventario!$D$2:$D$1000,"&lt;&gt;Internacional")</f>
        <v>9</v>
      </c>
      <c r="G13" s="10" t="n">
        <f aca="false">COUNTIFS(Inventario!$M$2:$M$1000,"*"&amp;A13&amp;"*",Inventario!$D$2:$D$1000,"&lt;&gt;Internacional",Inventario!$Q$2:$Q$1000,"4*")</f>
        <v>4</v>
      </c>
      <c r="H13" s="10" t="n">
        <f aca="false">COUNTIFS(Inventario!$M$2:$M$1000,"*"&amp;A13&amp;"*",Inventario!$D$2:$D$1000,"&lt;&gt;Internacional",Inventario!$Q$2:$Q$1000,"3*")</f>
        <v>4</v>
      </c>
      <c r="I13" s="10" t="n">
        <f aca="false">COUNTIFS(Inventario!$M$2:$M$1000,"*"&amp;A13&amp;"*",Inventario!$D$2:$D$1000,"&lt;&gt;Internacional",Inventario!$W$2:$W$1000,"Sí")</f>
        <v>2</v>
      </c>
      <c r="J13" s="10" t="n">
        <f aca="false">COUNTIFS(Inventario!$M$2:$M$1000,"*"&amp;A13&amp;"*",Inventario!$D$2:$D$1000,"Internacional")</f>
        <v>0</v>
      </c>
      <c r="K13" s="10" t="str">
        <f aca="false">IF(F13=0,IF(J13&gt;0,"Sin cobertura nacional (solo internacional)","Sin cobertura"),IF(E13=0,"Cobertura indirecta",IF(G13=0,"Cobertura sin análisis","Cobertura con análisis")))</f>
        <v>Cobertura con análisis</v>
      </c>
      <c r="L13" s="10" t="str">
        <f aca="false">IF(E13&gt;=5,"Alta concentración: revisar superposición","")</f>
        <v/>
      </c>
      <c r="M13" s="11" t="str">
        <f aca="false">HYPERLINK("https://catalogodatos.gub.uy/dataset?q="&amp;SUBSTITUTE('Taxonomía temas'!J10," ","+"),"Buscar datasets")</f>
        <v>Buscar datasets</v>
      </c>
    </row>
    <row r="14" customFormat="false" ht="15" hidden="false" customHeight="false" outlineLevel="0" collapsed="false">
      <c r="A14" s="10" t="str">
        <f aca="false">'Taxonomía temas'!A11</f>
        <v>T10</v>
      </c>
      <c r="B14" s="10" t="str">
        <f aca="false">'Taxonomía temas'!D11</f>
        <v>Ciencia, tecnología e innovación</v>
      </c>
      <c r="C14" s="10" t="str">
        <f aca="false">'Taxonomía temas'!E11</f>
        <v>Telecomunicaciones y sociedad digital</v>
      </c>
      <c r="D14" s="10" t="n">
        <f aca="false">'Taxonomía temas'!F11</f>
        <v>9</v>
      </c>
      <c r="E14" s="10" t="n">
        <f aca="false">COUNTIFS(Inventario!$K$2:$K$1000,A14,Inventario!$D$2:$D$1000,"&lt;&gt;Internacional")</f>
        <v>2</v>
      </c>
      <c r="F14" s="10" t="n">
        <f aca="false">COUNTIFS(Inventario!$M$2:$M$1000,"*"&amp;A14&amp;"*",Inventario!$D$2:$D$1000,"&lt;&gt;Internacional")</f>
        <v>2</v>
      </c>
      <c r="G14" s="10" t="n">
        <f aca="false">COUNTIFS(Inventario!$M$2:$M$1000,"*"&amp;A14&amp;"*",Inventario!$D$2:$D$1000,"&lt;&gt;Internacional",Inventario!$Q$2:$Q$1000,"4*")</f>
        <v>1</v>
      </c>
      <c r="H14" s="10" t="n">
        <f aca="false">COUNTIFS(Inventario!$M$2:$M$1000,"*"&amp;A14&amp;"*",Inventario!$D$2:$D$1000,"&lt;&gt;Internacional",Inventario!$Q$2:$Q$1000,"3*")</f>
        <v>0</v>
      </c>
      <c r="I14" s="10" t="n">
        <f aca="false">COUNTIFS(Inventario!$M$2:$M$1000,"*"&amp;A14&amp;"*",Inventario!$D$2:$D$1000,"&lt;&gt;Internacional",Inventario!$W$2:$W$1000,"Sí")</f>
        <v>2</v>
      </c>
      <c r="J14" s="10" t="n">
        <f aca="false">COUNTIFS(Inventario!$M$2:$M$1000,"*"&amp;A14&amp;"*",Inventario!$D$2:$D$1000,"Internacional")</f>
        <v>3</v>
      </c>
      <c r="K14" s="10" t="str">
        <f aca="false">IF(F14=0,IF(J14&gt;0,"Sin cobertura nacional (solo internacional)","Sin cobertura"),IF(E14=0,"Cobertura indirecta",IF(G14=0,"Cobertura sin análisis","Cobertura con análisis")))</f>
        <v>Cobertura con análisis</v>
      </c>
      <c r="L14" s="10" t="str">
        <f aca="false">IF(E14&gt;=5,"Alta concentración: revisar superposición","")</f>
        <v/>
      </c>
      <c r="M14" s="11" t="str">
        <f aca="false">HYPERLINK("https://catalogodatos.gub.uy/dataset?q="&amp;SUBSTITUTE('Taxonomía temas'!J11," ","+"),"Buscar datasets")</f>
        <v>Buscar datasets</v>
      </c>
    </row>
    <row r="15" customFormat="false" ht="15" hidden="false" customHeight="false" outlineLevel="0" collapsed="false">
      <c r="A15" s="10" t="str">
        <f aca="false">'Taxonomía temas'!A12</f>
        <v>T11</v>
      </c>
      <c r="B15" s="10" t="str">
        <f aca="false">'Taxonomía temas'!D12</f>
        <v>Ciencia, tecnología e innovación</v>
      </c>
      <c r="C15" s="10" t="str">
        <f aca="false">'Taxonomía temas'!E12</f>
        <v>Investigación, ciencia e innovación</v>
      </c>
      <c r="D15" s="10" t="n">
        <f aca="false">'Taxonomía temas'!F12</f>
        <v>9</v>
      </c>
      <c r="E15" s="10" t="n">
        <f aca="false">COUNTIFS(Inventario!$K$2:$K$1000,A15,Inventario!$D$2:$D$1000,"&lt;&gt;Internacional")</f>
        <v>2</v>
      </c>
      <c r="F15" s="10" t="n">
        <f aca="false">COUNTIFS(Inventario!$M$2:$M$1000,"*"&amp;A15&amp;"*",Inventario!$D$2:$D$1000,"&lt;&gt;Internacional")</f>
        <v>4</v>
      </c>
      <c r="G15" s="10" t="n">
        <f aca="false">COUNTIFS(Inventario!$M$2:$M$1000,"*"&amp;A15&amp;"*",Inventario!$D$2:$D$1000,"&lt;&gt;Internacional",Inventario!$Q$2:$Q$1000,"4*")</f>
        <v>1</v>
      </c>
      <c r="H15" s="10" t="n">
        <f aca="false">COUNTIFS(Inventario!$M$2:$M$1000,"*"&amp;A15&amp;"*",Inventario!$D$2:$D$1000,"&lt;&gt;Internacional",Inventario!$Q$2:$Q$1000,"3*")</f>
        <v>0</v>
      </c>
      <c r="I15" s="10" t="n">
        <f aca="false">COUNTIFS(Inventario!$M$2:$M$1000,"*"&amp;A15&amp;"*",Inventario!$D$2:$D$1000,"&lt;&gt;Internacional",Inventario!$W$2:$W$1000,"Sí")</f>
        <v>1</v>
      </c>
      <c r="J15" s="10" t="n">
        <f aca="false">COUNTIFS(Inventario!$M$2:$M$1000,"*"&amp;A15&amp;"*",Inventario!$D$2:$D$1000,"Internacional")</f>
        <v>10</v>
      </c>
      <c r="K15" s="10" t="str">
        <f aca="false">IF(F15=0,IF(J15&gt;0,"Sin cobertura nacional (solo internacional)","Sin cobertura"),IF(E15=0,"Cobertura indirecta",IF(G15=0,"Cobertura sin análisis","Cobertura con análisis")))</f>
        <v>Cobertura con análisis</v>
      </c>
      <c r="L15" s="10" t="str">
        <f aca="false">IF(E15&gt;=5,"Alta concentración: revisar superposición","")</f>
        <v/>
      </c>
      <c r="M15" s="11" t="str">
        <f aca="false">HYPERLINK("https://catalogodatos.gub.uy/dataset?q="&amp;SUBSTITUTE('Taxonomía temas'!J12," ","+"),"Buscar datasets")</f>
        <v>Buscar datasets</v>
      </c>
    </row>
    <row r="16" customFormat="false" ht="15" hidden="false" customHeight="false" outlineLevel="0" collapsed="false">
      <c r="A16" s="10" t="str">
        <f aca="false">'Taxonomía temas'!A13</f>
        <v>T12</v>
      </c>
      <c r="B16" s="10" t="str">
        <f aca="false">'Taxonomía temas'!D13</f>
        <v>Ciencia, tecnología e innovación</v>
      </c>
      <c r="C16" s="10" t="str">
        <f aca="false">'Taxonomía temas'!E13</f>
        <v>Propiedad intelectual</v>
      </c>
      <c r="D16" s="10" t="n">
        <f aca="false">'Taxonomía temas'!F13</f>
        <v>9</v>
      </c>
      <c r="E16" s="10" t="n">
        <f aca="false">COUNTIFS(Inventario!$K$2:$K$1000,A16,Inventario!$D$2:$D$1000,"&lt;&gt;Internacional")</f>
        <v>1</v>
      </c>
      <c r="F16" s="10" t="n">
        <f aca="false">COUNTIFS(Inventario!$M$2:$M$1000,"*"&amp;A16&amp;"*",Inventario!$D$2:$D$1000,"&lt;&gt;Internacional")</f>
        <v>1</v>
      </c>
      <c r="G16" s="10" t="n">
        <f aca="false">COUNTIFS(Inventario!$M$2:$M$1000,"*"&amp;A16&amp;"*",Inventario!$D$2:$D$1000,"&lt;&gt;Internacional",Inventario!$Q$2:$Q$1000,"4*")</f>
        <v>0</v>
      </c>
      <c r="H16" s="10" t="n">
        <f aca="false">COUNTIFS(Inventario!$M$2:$M$1000,"*"&amp;A16&amp;"*",Inventario!$D$2:$D$1000,"&lt;&gt;Internacional",Inventario!$Q$2:$Q$1000,"3*")</f>
        <v>0</v>
      </c>
      <c r="I16" s="10" t="n">
        <f aca="false">COUNTIFS(Inventario!$M$2:$M$1000,"*"&amp;A16&amp;"*",Inventario!$D$2:$D$1000,"&lt;&gt;Internacional",Inventario!$W$2:$W$1000,"Sí")</f>
        <v>0</v>
      </c>
      <c r="J16" s="10" t="n">
        <f aca="false">COUNTIFS(Inventario!$M$2:$M$1000,"*"&amp;A16&amp;"*",Inventario!$D$2:$D$1000,"Internacional")</f>
        <v>4</v>
      </c>
      <c r="K16" s="10" t="str">
        <f aca="false">IF(F16=0,IF(J16&gt;0,"Sin cobertura nacional (solo internacional)","Sin cobertura"),IF(E16=0,"Cobertura indirecta",IF(G16=0,"Cobertura sin análisis","Cobertura con análisis")))</f>
        <v>Cobertura sin análisis</v>
      </c>
      <c r="L16" s="10" t="str">
        <f aca="false">IF(E16&gt;=5,"Alta concentración: revisar superposición","")</f>
        <v/>
      </c>
      <c r="M16" s="11" t="str">
        <f aca="false">HYPERLINK("https://catalogodatos.gub.uy/dataset?q="&amp;SUBSTITUTE('Taxonomía temas'!J13," ","+"),"Buscar datasets")</f>
        <v>Buscar datasets</v>
      </c>
    </row>
    <row r="17" customFormat="false" ht="15" hidden="false" customHeight="false" outlineLevel="0" collapsed="false">
      <c r="A17" s="10" t="str">
        <f aca="false">'Taxonomía temas'!A14</f>
        <v>T13</v>
      </c>
      <c r="B17" s="10" t="str">
        <f aca="false">'Taxonomía temas'!D14</f>
        <v>Ciencia, tecnología e innovación</v>
      </c>
      <c r="C17" s="10" t="str">
        <f aca="false">'Taxonomía temas'!E14</f>
        <v>Sector tecnológico y software</v>
      </c>
      <c r="D17" s="10" t="n">
        <f aca="false">'Taxonomía temas'!F14</f>
        <v>9</v>
      </c>
      <c r="E17" s="10" t="n">
        <f aca="false">COUNTIFS(Inventario!$K$2:$K$1000,A17,Inventario!$D$2:$D$1000,"&lt;&gt;Internacional")</f>
        <v>1</v>
      </c>
      <c r="F17" s="10" t="n">
        <f aca="false">COUNTIFS(Inventario!$M$2:$M$1000,"*"&amp;A17&amp;"*",Inventario!$D$2:$D$1000,"&lt;&gt;Internacional")</f>
        <v>1</v>
      </c>
      <c r="G17" s="10" t="n">
        <f aca="false">COUNTIFS(Inventario!$M$2:$M$1000,"*"&amp;A17&amp;"*",Inventario!$D$2:$D$1000,"&lt;&gt;Internacional",Inventario!$Q$2:$Q$1000,"4*")</f>
        <v>1</v>
      </c>
      <c r="H17" s="10" t="n">
        <f aca="false">COUNTIFS(Inventario!$M$2:$M$1000,"*"&amp;A17&amp;"*",Inventario!$D$2:$D$1000,"&lt;&gt;Internacional",Inventario!$Q$2:$Q$1000,"3*")</f>
        <v>0</v>
      </c>
      <c r="I17" s="10" t="n">
        <f aca="false">COUNTIFS(Inventario!$M$2:$M$1000,"*"&amp;A17&amp;"*",Inventario!$D$2:$D$1000,"&lt;&gt;Internacional",Inventario!$W$2:$W$1000,"Sí")</f>
        <v>1</v>
      </c>
      <c r="J17" s="10" t="n">
        <f aca="false">COUNTIFS(Inventario!$M$2:$M$1000,"*"&amp;A17&amp;"*",Inventario!$D$2:$D$1000,"Internacional")</f>
        <v>2</v>
      </c>
      <c r="K17" s="10" t="str">
        <f aca="false">IF(F17=0,IF(J17&gt;0,"Sin cobertura nacional (solo internacional)","Sin cobertura"),IF(E17=0,"Cobertura indirecta",IF(G17=0,"Cobertura sin análisis","Cobertura con análisis")))</f>
        <v>Cobertura con análisis</v>
      </c>
      <c r="L17" s="10" t="str">
        <f aca="false">IF(E17&gt;=5,"Alta concentración: revisar superposición","")</f>
        <v/>
      </c>
      <c r="M17" s="11" t="str">
        <f aca="false">HYPERLINK("https://catalogodatos.gub.uy/dataset?q="&amp;SUBSTITUTE('Taxonomía temas'!J14," ","+"),"Buscar datasets")</f>
        <v>Buscar datasets</v>
      </c>
    </row>
    <row r="18" customFormat="false" ht="15" hidden="false" customHeight="false" outlineLevel="0" collapsed="false">
      <c r="A18" s="10" t="str">
        <f aca="false">'Taxonomía temas'!A15</f>
        <v>T14</v>
      </c>
      <c r="B18" s="10" t="str">
        <f aca="false">'Taxonomía temas'!D15</f>
        <v>Trabajo y protección social</v>
      </c>
      <c r="C18" s="10" t="str">
        <f aca="false">'Taxonomía temas'!E15</f>
        <v>Empleo y mercado de trabajo</v>
      </c>
      <c r="D18" s="10" t="n">
        <f aca="false">'Taxonomía temas'!F15</f>
        <v>8</v>
      </c>
      <c r="E18" s="10" t="n">
        <f aca="false">COUNTIFS(Inventario!$K$2:$K$1000,A18,Inventario!$D$2:$D$1000,"&lt;&gt;Internacional")</f>
        <v>3</v>
      </c>
      <c r="F18" s="10" t="n">
        <f aca="false">COUNTIFS(Inventario!$M$2:$M$1000,"*"&amp;A18&amp;"*",Inventario!$D$2:$D$1000,"&lt;&gt;Internacional")</f>
        <v>18</v>
      </c>
      <c r="G18" s="10" t="n">
        <f aca="false">COUNTIFS(Inventario!$M$2:$M$1000,"*"&amp;A18&amp;"*",Inventario!$D$2:$D$1000,"&lt;&gt;Internacional",Inventario!$Q$2:$Q$1000,"4*")</f>
        <v>8</v>
      </c>
      <c r="H18" s="10" t="n">
        <f aca="false">COUNTIFS(Inventario!$M$2:$M$1000,"*"&amp;A18&amp;"*",Inventario!$D$2:$D$1000,"&lt;&gt;Internacional",Inventario!$Q$2:$Q$1000,"3*")</f>
        <v>5</v>
      </c>
      <c r="I18" s="10" t="n">
        <f aca="false">COUNTIFS(Inventario!$M$2:$M$1000,"*"&amp;A18&amp;"*",Inventario!$D$2:$D$1000,"&lt;&gt;Internacional",Inventario!$W$2:$W$1000,"Sí")</f>
        <v>9</v>
      </c>
      <c r="J18" s="10" t="n">
        <f aca="false">COUNTIFS(Inventario!$M$2:$M$1000,"*"&amp;A18&amp;"*",Inventario!$D$2:$D$1000,"Internacional")</f>
        <v>2</v>
      </c>
      <c r="K18" s="10" t="str">
        <f aca="false">IF(F18=0,IF(J18&gt;0,"Sin cobertura nacional (solo internacional)","Sin cobertura"),IF(E18=0,"Cobertura indirecta",IF(G18=0,"Cobertura sin análisis","Cobertura con análisis")))</f>
        <v>Cobertura con análisis</v>
      </c>
      <c r="L18" s="10" t="str">
        <f aca="false">IF(E18&gt;=5,"Alta concentración: revisar superposición","")</f>
        <v/>
      </c>
      <c r="M18" s="11" t="str">
        <f aca="false">HYPERLINK("https://catalogodatos.gub.uy/dataset?q="&amp;SUBSTITUTE('Taxonomía temas'!J15," ","+"),"Buscar datasets")</f>
        <v>Buscar datasets</v>
      </c>
    </row>
    <row r="19" customFormat="false" ht="15" hidden="false" customHeight="false" outlineLevel="0" collapsed="false">
      <c r="A19" s="10" t="str">
        <f aca="false">'Taxonomía temas'!A16</f>
        <v>T15</v>
      </c>
      <c r="B19" s="10" t="str">
        <f aca="false">'Taxonomía temas'!D16</f>
        <v>Trabajo y protección social</v>
      </c>
      <c r="C19" s="10" t="str">
        <f aca="false">'Taxonomía temas'!E16</f>
        <v>Salud y seguridad laboral</v>
      </c>
      <c r="D19" s="10" t="n">
        <f aca="false">'Taxonomía temas'!F16</f>
        <v>8</v>
      </c>
      <c r="E19" s="10" t="n">
        <f aca="false">COUNTIFS(Inventario!$K$2:$K$1000,A19,Inventario!$D$2:$D$1000,"&lt;&gt;Internacional")</f>
        <v>1</v>
      </c>
      <c r="F19" s="10" t="n">
        <f aca="false">COUNTIFS(Inventario!$M$2:$M$1000,"*"&amp;A19&amp;"*",Inventario!$D$2:$D$1000,"&lt;&gt;Internacional")</f>
        <v>2</v>
      </c>
      <c r="G19" s="10" t="n">
        <f aca="false">COUNTIFS(Inventario!$M$2:$M$1000,"*"&amp;A19&amp;"*",Inventario!$D$2:$D$1000,"&lt;&gt;Internacional",Inventario!$Q$2:$Q$1000,"4*")</f>
        <v>0</v>
      </c>
      <c r="H19" s="10" t="n">
        <f aca="false">COUNTIFS(Inventario!$M$2:$M$1000,"*"&amp;A19&amp;"*",Inventario!$D$2:$D$1000,"&lt;&gt;Internacional",Inventario!$Q$2:$Q$1000,"3*")</f>
        <v>1</v>
      </c>
      <c r="I19" s="10" t="n">
        <f aca="false">COUNTIFS(Inventario!$M$2:$M$1000,"*"&amp;A19&amp;"*",Inventario!$D$2:$D$1000,"&lt;&gt;Internacional",Inventario!$W$2:$W$1000,"Sí")</f>
        <v>1</v>
      </c>
      <c r="J19" s="10" t="n">
        <f aca="false">COUNTIFS(Inventario!$M$2:$M$1000,"*"&amp;A19&amp;"*",Inventario!$D$2:$D$1000,"Internacional")</f>
        <v>0</v>
      </c>
      <c r="K19" s="10" t="str">
        <f aca="false">IF(F19=0,IF(J19&gt;0,"Sin cobertura nacional (solo internacional)","Sin cobertura"),IF(E19=0,"Cobertura indirecta",IF(G19=0,"Cobertura sin análisis","Cobertura con análisis")))</f>
        <v>Cobertura sin análisis</v>
      </c>
      <c r="L19" s="10" t="str">
        <f aca="false">IF(E19&gt;=5,"Alta concentración: revisar superposición","")</f>
        <v/>
      </c>
      <c r="M19" s="11" t="str">
        <f aca="false">HYPERLINK("https://catalogodatos.gub.uy/dataset?q="&amp;SUBSTITUTE('Taxonomía temas'!J16," ","+"),"Buscar datasets")</f>
        <v>Buscar datasets</v>
      </c>
    </row>
    <row r="20" customFormat="false" ht="15" hidden="false" customHeight="false" outlineLevel="0" collapsed="false">
      <c r="A20" s="10" t="str">
        <f aca="false">'Taxonomía temas'!A17</f>
        <v>T16</v>
      </c>
      <c r="B20" s="10" t="str">
        <f aca="false">'Taxonomía temas'!D17</f>
        <v>Trabajo y protección social</v>
      </c>
      <c r="C20" s="10" t="str">
        <f aca="false">'Taxonomía temas'!E17</f>
        <v>Seguridad social y pensiones</v>
      </c>
      <c r="D20" s="10" t="n">
        <f aca="false">'Taxonomía temas'!F17</f>
        <v>1</v>
      </c>
      <c r="E20" s="10" t="n">
        <f aca="false">COUNTIFS(Inventario!$K$2:$K$1000,A20,Inventario!$D$2:$D$1000,"&lt;&gt;Internacional")</f>
        <v>3</v>
      </c>
      <c r="F20" s="10" t="n">
        <f aca="false">COUNTIFS(Inventario!$M$2:$M$1000,"*"&amp;A20&amp;"*",Inventario!$D$2:$D$1000,"&lt;&gt;Internacional")</f>
        <v>4</v>
      </c>
      <c r="G20" s="10" t="n">
        <f aca="false">COUNTIFS(Inventario!$M$2:$M$1000,"*"&amp;A20&amp;"*",Inventario!$D$2:$D$1000,"&lt;&gt;Internacional",Inventario!$Q$2:$Q$1000,"4*")</f>
        <v>4</v>
      </c>
      <c r="H20" s="10" t="n">
        <f aca="false">COUNTIFS(Inventario!$M$2:$M$1000,"*"&amp;A20&amp;"*",Inventario!$D$2:$D$1000,"&lt;&gt;Internacional",Inventario!$Q$2:$Q$1000,"3*")</f>
        <v>0</v>
      </c>
      <c r="I20" s="10" t="n">
        <f aca="false">COUNTIFS(Inventario!$M$2:$M$1000,"*"&amp;A20&amp;"*",Inventario!$D$2:$D$1000,"&lt;&gt;Internacional",Inventario!$W$2:$W$1000,"Sí")</f>
        <v>2</v>
      </c>
      <c r="J20" s="10" t="n">
        <f aca="false">COUNTIFS(Inventario!$M$2:$M$1000,"*"&amp;A20&amp;"*",Inventario!$D$2:$D$1000,"Internacional")</f>
        <v>1</v>
      </c>
      <c r="K20" s="10" t="str">
        <f aca="false">IF(F20=0,IF(J20&gt;0,"Sin cobertura nacional (solo internacional)","Sin cobertura"),IF(E20=0,"Cobertura indirecta",IF(G20=0,"Cobertura sin análisis","Cobertura con análisis")))</f>
        <v>Cobertura con análisis</v>
      </c>
      <c r="L20" s="10" t="str">
        <f aca="false">IF(E20&gt;=5,"Alta concentración: revisar superposición","")</f>
        <v/>
      </c>
      <c r="M20" s="11" t="str">
        <f aca="false">HYPERLINK("https://catalogodatos.gub.uy/dataset?q="&amp;SUBSTITUTE('Taxonomía temas'!J17," ","+"),"Buscar datasets")</f>
        <v>Buscar datasets</v>
      </c>
    </row>
    <row r="21" customFormat="false" ht="15" hidden="false" customHeight="false" outlineLevel="0" collapsed="false">
      <c r="A21" s="10" t="str">
        <f aca="false">'Taxonomía temas'!A18</f>
        <v>T17</v>
      </c>
      <c r="B21" s="10" t="str">
        <f aca="false">'Taxonomía temas'!D18</f>
        <v>Trabajo y protección social</v>
      </c>
      <c r="C21" s="10" t="str">
        <f aca="false">'Taxonomía temas'!E18</f>
        <v>Pobreza, desigualdad y condiciones de vida</v>
      </c>
      <c r="D21" s="10" t="n">
        <f aca="false">'Taxonomía temas'!F18</f>
        <v>1</v>
      </c>
      <c r="E21" s="10" t="n">
        <f aca="false">COUNTIFS(Inventario!$K$2:$K$1000,A21,Inventario!$D$2:$D$1000,"&lt;&gt;Internacional")</f>
        <v>5</v>
      </c>
      <c r="F21" s="10" t="n">
        <f aca="false">COUNTIFS(Inventario!$M$2:$M$1000,"*"&amp;A21&amp;"*",Inventario!$D$2:$D$1000,"&lt;&gt;Internacional")</f>
        <v>7</v>
      </c>
      <c r="G21" s="10" t="n">
        <f aca="false">COUNTIFS(Inventario!$M$2:$M$1000,"*"&amp;A21&amp;"*",Inventario!$D$2:$D$1000,"&lt;&gt;Internacional",Inventario!$Q$2:$Q$1000,"4*")</f>
        <v>4</v>
      </c>
      <c r="H21" s="10" t="n">
        <f aca="false">COUNTIFS(Inventario!$M$2:$M$1000,"*"&amp;A21&amp;"*",Inventario!$D$2:$D$1000,"&lt;&gt;Internacional",Inventario!$Q$2:$Q$1000,"3*")</f>
        <v>1</v>
      </c>
      <c r="I21" s="10" t="n">
        <f aca="false">COUNTIFS(Inventario!$M$2:$M$1000,"*"&amp;A21&amp;"*",Inventario!$D$2:$D$1000,"&lt;&gt;Internacional",Inventario!$W$2:$W$1000,"Sí")</f>
        <v>4</v>
      </c>
      <c r="J21" s="10" t="n">
        <f aca="false">COUNTIFS(Inventario!$M$2:$M$1000,"*"&amp;A21&amp;"*",Inventario!$D$2:$D$1000,"Internacional")</f>
        <v>3</v>
      </c>
      <c r="K21" s="10" t="str">
        <f aca="false">IF(F21=0,IF(J21&gt;0,"Sin cobertura nacional (solo internacional)","Sin cobertura"),IF(E21=0,"Cobertura indirecta",IF(G21=0,"Cobertura sin análisis","Cobertura con análisis")))</f>
        <v>Cobertura con análisis</v>
      </c>
      <c r="L21" s="10" t="str">
        <f aca="false">IF(E21&gt;=5,"Alta concentración: revisar superposición","")</f>
        <v>Alta concentración: revisar superposición</v>
      </c>
      <c r="M21" s="11" t="str">
        <f aca="false">HYPERLINK("https://catalogodatos.gub.uy/dataset?q="&amp;SUBSTITUTE('Taxonomía temas'!J18," ","+"),"Buscar datasets")</f>
        <v>Buscar datasets</v>
      </c>
    </row>
    <row r="22" customFormat="false" ht="15" hidden="false" customHeight="false" outlineLevel="0" collapsed="false">
      <c r="A22" s="10" t="str">
        <f aca="false">'Taxonomía temas'!A19</f>
        <v>T18</v>
      </c>
      <c r="B22" s="10" t="str">
        <f aca="false">'Taxonomía temas'!D19</f>
        <v>Trabajo y protección social</v>
      </c>
      <c r="C22" s="10" t="str">
        <f aca="false">'Taxonomía temas'!E19</f>
        <v>Protección social y servicios sociales</v>
      </c>
      <c r="D22" s="10" t="n">
        <f aca="false">'Taxonomía temas'!F19</f>
        <v>1</v>
      </c>
      <c r="E22" s="10" t="n">
        <f aca="false">COUNTIFS(Inventario!$K$2:$K$1000,A22,Inventario!$D$2:$D$1000,"&lt;&gt;Internacional")</f>
        <v>1</v>
      </c>
      <c r="F22" s="10" t="n">
        <f aca="false">COUNTIFS(Inventario!$M$2:$M$1000,"*"&amp;A22&amp;"*",Inventario!$D$2:$D$1000,"&lt;&gt;Internacional")</f>
        <v>4</v>
      </c>
      <c r="G22" s="10" t="n">
        <f aca="false">COUNTIFS(Inventario!$M$2:$M$1000,"*"&amp;A22&amp;"*",Inventario!$D$2:$D$1000,"&lt;&gt;Internacional",Inventario!$Q$2:$Q$1000,"4*")</f>
        <v>2</v>
      </c>
      <c r="H22" s="10" t="n">
        <f aca="false">COUNTIFS(Inventario!$M$2:$M$1000,"*"&amp;A22&amp;"*",Inventario!$D$2:$D$1000,"&lt;&gt;Internacional",Inventario!$Q$2:$Q$1000,"3*")</f>
        <v>0</v>
      </c>
      <c r="I22" s="10" t="n">
        <f aca="false">COUNTIFS(Inventario!$M$2:$M$1000,"*"&amp;A22&amp;"*",Inventario!$D$2:$D$1000,"&lt;&gt;Internacional",Inventario!$W$2:$W$1000,"Sí")</f>
        <v>2</v>
      </c>
      <c r="J22" s="10" t="n">
        <f aca="false">COUNTIFS(Inventario!$M$2:$M$1000,"*"&amp;A22&amp;"*",Inventario!$D$2:$D$1000,"Internacional")</f>
        <v>0</v>
      </c>
      <c r="K22" s="10" t="str">
        <f aca="false">IF(F22=0,IF(J22&gt;0,"Sin cobertura nacional (solo internacional)","Sin cobertura"),IF(E22=0,"Cobertura indirecta",IF(G22=0,"Cobertura sin análisis","Cobertura con análisis")))</f>
        <v>Cobertura con análisis</v>
      </c>
      <c r="L22" s="10" t="str">
        <f aca="false">IF(E22&gt;=5,"Alta concentración: revisar superposición","")</f>
        <v/>
      </c>
      <c r="M22" s="11" t="str">
        <f aca="false">HYPERLINK("https://catalogodatos.gub.uy/dataset?q="&amp;SUBSTITUTE('Taxonomía temas'!J19," ","+"),"Buscar datasets")</f>
        <v>Buscar datasets</v>
      </c>
    </row>
    <row r="23" customFormat="false" ht="15" hidden="false" customHeight="false" outlineLevel="0" collapsed="false">
      <c r="A23" s="10" t="str">
        <f aca="false">'Taxonomía temas'!A20</f>
        <v>T19</v>
      </c>
      <c r="B23" s="10" t="str">
        <f aca="false">'Taxonomía temas'!D20</f>
        <v>Trabajo y protección social</v>
      </c>
      <c r="C23" s="10" t="str">
        <f aca="false">'Taxonomía temas'!E20</f>
        <v>Cuidados</v>
      </c>
      <c r="D23" s="10" t="n">
        <f aca="false">'Taxonomía temas'!F20</f>
        <v>5</v>
      </c>
      <c r="E23" s="10" t="n">
        <f aca="false">COUNTIFS(Inventario!$K$2:$K$1000,A23,Inventario!$D$2:$D$1000,"&lt;&gt;Internacional")</f>
        <v>1</v>
      </c>
      <c r="F23" s="10" t="n">
        <f aca="false">COUNTIFS(Inventario!$M$2:$M$1000,"*"&amp;A23&amp;"*",Inventario!$D$2:$D$1000,"&lt;&gt;Internacional")</f>
        <v>2</v>
      </c>
      <c r="G23" s="10" t="n">
        <f aca="false">COUNTIFS(Inventario!$M$2:$M$1000,"*"&amp;A23&amp;"*",Inventario!$D$2:$D$1000,"&lt;&gt;Internacional",Inventario!$Q$2:$Q$1000,"4*")</f>
        <v>0</v>
      </c>
      <c r="H23" s="10" t="n">
        <f aca="false">COUNTIFS(Inventario!$M$2:$M$1000,"*"&amp;A23&amp;"*",Inventario!$D$2:$D$1000,"&lt;&gt;Internacional",Inventario!$Q$2:$Q$1000,"3*")</f>
        <v>0</v>
      </c>
      <c r="I23" s="10" t="n">
        <f aca="false">COUNTIFS(Inventario!$M$2:$M$1000,"*"&amp;A23&amp;"*",Inventario!$D$2:$D$1000,"&lt;&gt;Internacional",Inventario!$W$2:$W$1000,"Sí")</f>
        <v>0</v>
      </c>
      <c r="J23" s="10" t="n">
        <f aca="false">COUNTIFS(Inventario!$M$2:$M$1000,"*"&amp;A23&amp;"*",Inventario!$D$2:$D$1000,"Internacional")</f>
        <v>1</v>
      </c>
      <c r="K23" s="10" t="str">
        <f aca="false">IF(F23=0,IF(J23&gt;0,"Sin cobertura nacional (solo internacional)","Sin cobertura"),IF(E23=0,"Cobertura indirecta",IF(G23=0,"Cobertura sin análisis","Cobertura con análisis")))</f>
        <v>Cobertura sin análisis</v>
      </c>
      <c r="L23" s="10" t="str">
        <f aca="false">IF(E23&gt;=5,"Alta concentración: revisar superposición","")</f>
        <v/>
      </c>
      <c r="M23" s="11" t="str">
        <f aca="false">HYPERLINK("https://catalogodatos.gub.uy/dataset?q="&amp;SUBSTITUTE('Taxonomía temas'!J20," ","+"),"Buscar datasets")</f>
        <v>Buscar datasets</v>
      </c>
    </row>
    <row r="24" customFormat="false" ht="15" hidden="false" customHeight="false" outlineLevel="0" collapsed="false">
      <c r="A24" s="10" t="str">
        <f aca="false">'Taxonomía temas'!A21</f>
        <v>T20</v>
      </c>
      <c r="B24" s="10" t="str">
        <f aca="false">'Taxonomía temas'!D21</f>
        <v>Trabajo y protección social</v>
      </c>
      <c r="C24" s="10" t="str">
        <f aca="false">'Taxonomía temas'!E21</f>
        <v>Alimentación y nutrición</v>
      </c>
      <c r="D24" s="10" t="n">
        <f aca="false">'Taxonomía temas'!F21</f>
        <v>2</v>
      </c>
      <c r="E24" s="10" t="n">
        <f aca="false">COUNTIFS(Inventario!$K$2:$K$1000,A24,Inventario!$D$2:$D$1000,"&lt;&gt;Internacional")</f>
        <v>3</v>
      </c>
      <c r="F24" s="10" t="n">
        <f aca="false">COUNTIFS(Inventario!$M$2:$M$1000,"*"&amp;A24&amp;"*",Inventario!$D$2:$D$1000,"&lt;&gt;Internacional")</f>
        <v>3</v>
      </c>
      <c r="G24" s="10" t="n">
        <f aca="false">COUNTIFS(Inventario!$M$2:$M$1000,"*"&amp;A24&amp;"*",Inventario!$D$2:$D$1000,"&lt;&gt;Internacional",Inventario!$Q$2:$Q$1000,"4*")</f>
        <v>3</v>
      </c>
      <c r="H24" s="10" t="n">
        <f aca="false">COUNTIFS(Inventario!$M$2:$M$1000,"*"&amp;A24&amp;"*",Inventario!$D$2:$D$1000,"&lt;&gt;Internacional",Inventario!$Q$2:$Q$1000,"3*")</f>
        <v>0</v>
      </c>
      <c r="I24" s="10" t="n">
        <f aca="false">COUNTIFS(Inventario!$M$2:$M$1000,"*"&amp;A24&amp;"*",Inventario!$D$2:$D$1000,"&lt;&gt;Internacional",Inventario!$W$2:$W$1000,"Sí")</f>
        <v>1</v>
      </c>
      <c r="J24" s="10" t="n">
        <f aca="false">COUNTIFS(Inventario!$M$2:$M$1000,"*"&amp;A24&amp;"*",Inventario!$D$2:$D$1000,"Internacional")</f>
        <v>1</v>
      </c>
      <c r="K24" s="10" t="str">
        <f aca="false">IF(F24=0,IF(J24&gt;0,"Sin cobertura nacional (solo internacional)","Sin cobertura"),IF(E24=0,"Cobertura indirecta",IF(G24=0,"Cobertura sin análisis","Cobertura con análisis")))</f>
        <v>Cobertura con análisis</v>
      </c>
      <c r="L24" s="10" t="str">
        <f aca="false">IF(E24&gt;=5,"Alta concentración: revisar superposición","")</f>
        <v/>
      </c>
      <c r="M24" s="11" t="str">
        <f aca="false">HYPERLINK("https://catalogodatos.gub.uy/dataset?q="&amp;SUBSTITUTE('Taxonomía temas'!J21," ","+"),"Buscar datasets")</f>
        <v>Buscar datasets</v>
      </c>
    </row>
    <row r="25" customFormat="false" ht="15" hidden="false" customHeight="false" outlineLevel="0" collapsed="false">
      <c r="A25" s="10" t="str">
        <f aca="false">'Taxonomía temas'!A22</f>
        <v>T21</v>
      </c>
      <c r="B25" s="10" t="str">
        <f aca="false">'Taxonomía temas'!D22</f>
        <v>Trabajo y protección social</v>
      </c>
      <c r="C25" s="10" t="str">
        <f aca="false">'Taxonomía temas'!E22</f>
        <v>Formación profesional y capacitación</v>
      </c>
      <c r="D25" s="10" t="n">
        <f aca="false">'Taxonomía temas'!F22</f>
        <v>4</v>
      </c>
      <c r="E25" s="10" t="n">
        <f aca="false">COUNTIFS(Inventario!$K$2:$K$1000,A25,Inventario!$D$2:$D$1000,"&lt;&gt;Internacional")</f>
        <v>1</v>
      </c>
      <c r="F25" s="10" t="n">
        <f aca="false">COUNTIFS(Inventario!$M$2:$M$1000,"*"&amp;A25&amp;"*",Inventario!$D$2:$D$1000,"&lt;&gt;Internacional")</f>
        <v>2</v>
      </c>
      <c r="G25" s="10" t="n">
        <f aca="false">COUNTIFS(Inventario!$M$2:$M$1000,"*"&amp;A25&amp;"*",Inventario!$D$2:$D$1000,"&lt;&gt;Internacional",Inventario!$Q$2:$Q$1000,"4*")</f>
        <v>0</v>
      </c>
      <c r="H25" s="10" t="n">
        <f aca="false">COUNTIFS(Inventario!$M$2:$M$1000,"*"&amp;A25&amp;"*",Inventario!$D$2:$D$1000,"&lt;&gt;Internacional",Inventario!$Q$2:$Q$1000,"3*")</f>
        <v>1</v>
      </c>
      <c r="I25" s="10" t="n">
        <f aca="false">COUNTIFS(Inventario!$M$2:$M$1000,"*"&amp;A25&amp;"*",Inventario!$D$2:$D$1000,"&lt;&gt;Internacional",Inventario!$W$2:$W$1000,"Sí")</f>
        <v>0</v>
      </c>
      <c r="J25" s="10" t="n">
        <f aca="false">COUNTIFS(Inventario!$M$2:$M$1000,"*"&amp;A25&amp;"*",Inventario!$D$2:$D$1000,"Internacional")</f>
        <v>0</v>
      </c>
      <c r="K25" s="10" t="str">
        <f aca="false">IF(F25=0,IF(J25&gt;0,"Sin cobertura nacional (solo internacional)","Sin cobertura"),IF(E25=0,"Cobertura indirecta",IF(G25=0,"Cobertura sin análisis","Cobertura con análisis")))</f>
        <v>Cobertura sin análisis</v>
      </c>
      <c r="L25" s="10" t="str">
        <f aca="false">IF(E25&gt;=5,"Alta concentración: revisar superposición","")</f>
        <v/>
      </c>
      <c r="M25" s="11" t="str">
        <f aca="false">HYPERLINK("https://catalogodatos.gub.uy/dataset?q="&amp;SUBSTITUTE('Taxonomía temas'!J22," ","+"),"Buscar datasets")</f>
        <v>Buscar datasets</v>
      </c>
    </row>
    <row r="26" customFormat="false" ht="15" hidden="false" customHeight="false" outlineLevel="0" collapsed="false">
      <c r="A26" s="10" t="str">
        <f aca="false">'Taxonomía temas'!A23</f>
        <v>T22</v>
      </c>
      <c r="B26" s="10" t="str">
        <f aca="false">'Taxonomía temas'!D23</f>
        <v>Salud y población</v>
      </c>
      <c r="C26" s="10" t="str">
        <f aca="false">'Taxonomía temas'!E23</f>
        <v>Salud y sistema sanitario</v>
      </c>
      <c r="D26" s="10" t="n">
        <f aca="false">'Taxonomía temas'!F23</f>
        <v>3</v>
      </c>
      <c r="E26" s="10" t="n">
        <f aca="false">COUNTIFS(Inventario!$K$2:$K$1000,A26,Inventario!$D$2:$D$1000,"&lt;&gt;Internacional")</f>
        <v>5</v>
      </c>
      <c r="F26" s="10" t="n">
        <f aca="false">COUNTIFS(Inventario!$M$2:$M$1000,"*"&amp;A26&amp;"*",Inventario!$D$2:$D$1000,"&lt;&gt;Internacional")</f>
        <v>10</v>
      </c>
      <c r="G26" s="10" t="n">
        <f aca="false">COUNTIFS(Inventario!$M$2:$M$1000,"*"&amp;A26&amp;"*",Inventario!$D$2:$D$1000,"&lt;&gt;Internacional",Inventario!$Q$2:$Q$1000,"4*")</f>
        <v>5</v>
      </c>
      <c r="H26" s="10" t="n">
        <f aca="false">COUNTIFS(Inventario!$M$2:$M$1000,"*"&amp;A26&amp;"*",Inventario!$D$2:$D$1000,"&lt;&gt;Internacional",Inventario!$Q$2:$Q$1000,"3*")</f>
        <v>2</v>
      </c>
      <c r="I26" s="10" t="n">
        <f aca="false">COUNTIFS(Inventario!$M$2:$M$1000,"*"&amp;A26&amp;"*",Inventario!$D$2:$D$1000,"&lt;&gt;Internacional",Inventario!$W$2:$W$1000,"Sí")</f>
        <v>3</v>
      </c>
      <c r="J26" s="10" t="n">
        <f aca="false">COUNTIFS(Inventario!$M$2:$M$1000,"*"&amp;A26&amp;"*",Inventario!$D$2:$D$1000,"Internacional")</f>
        <v>1</v>
      </c>
      <c r="K26" s="10" t="str">
        <f aca="false">IF(F26=0,IF(J26&gt;0,"Sin cobertura nacional (solo internacional)","Sin cobertura"),IF(E26=0,"Cobertura indirecta",IF(G26=0,"Cobertura sin análisis","Cobertura con análisis")))</f>
        <v>Cobertura con análisis</v>
      </c>
      <c r="L26" s="10" t="str">
        <f aca="false">IF(E26&gt;=5,"Alta concentración: revisar superposición","")</f>
        <v>Alta concentración: revisar superposición</v>
      </c>
      <c r="M26" s="11" t="str">
        <f aca="false">HYPERLINK("https://catalogodatos.gub.uy/dataset?q="&amp;SUBSTITUTE('Taxonomía temas'!J23," ","+"),"Buscar datasets")</f>
        <v>Buscar datasets</v>
      </c>
    </row>
    <row r="27" customFormat="false" ht="15" hidden="false" customHeight="false" outlineLevel="0" collapsed="false">
      <c r="A27" s="10" t="str">
        <f aca="false">'Taxonomía temas'!A24</f>
        <v>T23</v>
      </c>
      <c r="B27" s="10" t="str">
        <f aca="false">'Taxonomía temas'!D24</f>
        <v>Salud y población</v>
      </c>
      <c r="C27" s="10" t="str">
        <f aca="false">'Taxonomía temas'!E24</f>
        <v>Salud sexual y reproductiva</v>
      </c>
      <c r="D27" s="10" t="n">
        <f aca="false">'Taxonomía temas'!F24</f>
        <v>3</v>
      </c>
      <c r="E27" s="10" t="n">
        <f aca="false">COUNTIFS(Inventario!$K$2:$K$1000,A27,Inventario!$D$2:$D$1000,"&lt;&gt;Internacional")</f>
        <v>1</v>
      </c>
      <c r="F27" s="10" t="n">
        <f aca="false">COUNTIFS(Inventario!$M$2:$M$1000,"*"&amp;A27&amp;"*",Inventario!$D$2:$D$1000,"&lt;&gt;Internacional")</f>
        <v>1</v>
      </c>
      <c r="G27" s="10" t="n">
        <f aca="false">COUNTIFS(Inventario!$M$2:$M$1000,"*"&amp;A27&amp;"*",Inventario!$D$2:$D$1000,"&lt;&gt;Internacional",Inventario!$Q$2:$Q$1000,"4*")</f>
        <v>1</v>
      </c>
      <c r="H27" s="10" t="n">
        <f aca="false">COUNTIFS(Inventario!$M$2:$M$1000,"*"&amp;A27&amp;"*",Inventario!$D$2:$D$1000,"&lt;&gt;Internacional",Inventario!$Q$2:$Q$1000,"3*")</f>
        <v>0</v>
      </c>
      <c r="I27" s="10" t="n">
        <f aca="false">COUNTIFS(Inventario!$M$2:$M$1000,"*"&amp;A27&amp;"*",Inventario!$D$2:$D$1000,"&lt;&gt;Internacional",Inventario!$W$2:$W$1000,"Sí")</f>
        <v>0</v>
      </c>
      <c r="J27" s="10" t="n">
        <f aca="false">COUNTIFS(Inventario!$M$2:$M$1000,"*"&amp;A27&amp;"*",Inventario!$D$2:$D$1000,"Internacional")</f>
        <v>1</v>
      </c>
      <c r="K27" s="10" t="str">
        <f aca="false">IF(F27=0,IF(J27&gt;0,"Sin cobertura nacional (solo internacional)","Sin cobertura"),IF(E27=0,"Cobertura indirecta",IF(G27=0,"Cobertura sin análisis","Cobertura con análisis")))</f>
        <v>Cobertura con análisis</v>
      </c>
      <c r="L27" s="10" t="str">
        <f aca="false">IF(E27&gt;=5,"Alta concentración: revisar superposición","")</f>
        <v/>
      </c>
      <c r="M27" s="11" t="str">
        <f aca="false">HYPERLINK("https://catalogodatos.gub.uy/dataset?q="&amp;SUBSTITUTE('Taxonomía temas'!J24," ","+"),"Buscar datasets")</f>
        <v>Buscar datasets</v>
      </c>
    </row>
    <row r="28" customFormat="false" ht="15" hidden="false" customHeight="false" outlineLevel="0" collapsed="false">
      <c r="A28" s="10" t="str">
        <f aca="false">'Taxonomía temas'!A25</f>
        <v>T24</v>
      </c>
      <c r="B28" s="10" t="str">
        <f aca="false">'Taxonomía temas'!D25</f>
        <v>Salud y población</v>
      </c>
      <c r="C28" s="10" t="str">
        <f aca="false">'Taxonomía temas'!E25</f>
        <v>Drogas y consumos</v>
      </c>
      <c r="D28" s="10" t="n">
        <f aca="false">'Taxonomía temas'!F25</f>
        <v>3</v>
      </c>
      <c r="E28" s="10" t="n">
        <f aca="false">COUNTIFS(Inventario!$K$2:$K$1000,A28,Inventario!$D$2:$D$1000,"&lt;&gt;Internacional")</f>
        <v>2</v>
      </c>
      <c r="F28" s="10" t="n">
        <f aca="false">COUNTIFS(Inventario!$M$2:$M$1000,"*"&amp;A28&amp;"*",Inventario!$D$2:$D$1000,"&lt;&gt;Internacional")</f>
        <v>2</v>
      </c>
      <c r="G28" s="10" t="n">
        <f aca="false">COUNTIFS(Inventario!$M$2:$M$1000,"*"&amp;A28&amp;"*",Inventario!$D$2:$D$1000,"&lt;&gt;Internacional",Inventario!$Q$2:$Q$1000,"4*")</f>
        <v>1</v>
      </c>
      <c r="H28" s="10" t="n">
        <f aca="false">COUNTIFS(Inventario!$M$2:$M$1000,"*"&amp;A28&amp;"*",Inventario!$D$2:$D$1000,"&lt;&gt;Internacional",Inventario!$Q$2:$Q$1000,"3*")</f>
        <v>0</v>
      </c>
      <c r="I28" s="10" t="n">
        <f aca="false">COUNTIFS(Inventario!$M$2:$M$1000,"*"&amp;A28&amp;"*",Inventario!$D$2:$D$1000,"&lt;&gt;Internacional",Inventario!$W$2:$W$1000,"Sí")</f>
        <v>1</v>
      </c>
      <c r="J28" s="10" t="n">
        <f aca="false">COUNTIFS(Inventario!$M$2:$M$1000,"*"&amp;A28&amp;"*",Inventario!$D$2:$D$1000,"Internacional")</f>
        <v>1</v>
      </c>
      <c r="K28" s="10" t="str">
        <f aca="false">IF(F28=0,IF(J28&gt;0,"Sin cobertura nacional (solo internacional)","Sin cobertura"),IF(E28=0,"Cobertura indirecta",IF(G28=0,"Cobertura sin análisis","Cobertura con análisis")))</f>
        <v>Cobertura con análisis</v>
      </c>
      <c r="L28" s="10" t="str">
        <f aca="false">IF(E28&gt;=5,"Alta concentración: revisar superposición","")</f>
        <v/>
      </c>
      <c r="M28" s="11" t="str">
        <f aca="false">HYPERLINK("https://catalogodatos.gub.uy/dataset?q="&amp;SUBSTITUTE('Taxonomía temas'!J25," ","+"),"Buscar datasets")</f>
        <v>Buscar datasets</v>
      </c>
    </row>
    <row r="29" customFormat="false" ht="15" hidden="false" customHeight="false" outlineLevel="0" collapsed="false">
      <c r="A29" s="10" t="str">
        <f aca="false">'Taxonomía temas'!A26</f>
        <v>T25</v>
      </c>
      <c r="B29" s="10" t="str">
        <f aca="false">'Taxonomía temas'!D26</f>
        <v>Salud y población</v>
      </c>
      <c r="C29" s="10" t="str">
        <f aca="false">'Taxonomía temas'!E26</f>
        <v>Población, demografía y estadísticas vitales</v>
      </c>
      <c r="D29" s="10" t="n">
        <f aca="false">'Taxonomía temas'!F26</f>
        <v>17</v>
      </c>
      <c r="E29" s="10" t="n">
        <f aca="false">COUNTIFS(Inventario!$K$2:$K$1000,A29,Inventario!$D$2:$D$1000,"&lt;&gt;Internacional")</f>
        <v>4</v>
      </c>
      <c r="F29" s="10" t="n">
        <f aca="false">COUNTIFS(Inventario!$M$2:$M$1000,"*"&amp;A29&amp;"*",Inventario!$D$2:$D$1000,"&lt;&gt;Internacional")</f>
        <v>11</v>
      </c>
      <c r="G29" s="10" t="n">
        <f aca="false">COUNTIFS(Inventario!$M$2:$M$1000,"*"&amp;A29&amp;"*",Inventario!$D$2:$D$1000,"&lt;&gt;Internacional",Inventario!$Q$2:$Q$1000,"4*")</f>
        <v>5</v>
      </c>
      <c r="H29" s="10" t="n">
        <f aca="false">COUNTIFS(Inventario!$M$2:$M$1000,"*"&amp;A29&amp;"*",Inventario!$D$2:$D$1000,"&lt;&gt;Internacional",Inventario!$Q$2:$Q$1000,"3*")</f>
        <v>1</v>
      </c>
      <c r="I29" s="10" t="n">
        <f aca="false">COUNTIFS(Inventario!$M$2:$M$1000,"*"&amp;A29&amp;"*",Inventario!$D$2:$D$1000,"&lt;&gt;Internacional",Inventario!$W$2:$W$1000,"Sí")</f>
        <v>4</v>
      </c>
      <c r="J29" s="10" t="n">
        <f aca="false">COUNTIFS(Inventario!$M$2:$M$1000,"*"&amp;A29&amp;"*",Inventario!$D$2:$D$1000,"Internacional")</f>
        <v>0</v>
      </c>
      <c r="K29" s="10" t="str">
        <f aca="false">IF(F29=0,IF(J29&gt;0,"Sin cobertura nacional (solo internacional)","Sin cobertura"),IF(E29=0,"Cobertura indirecta",IF(G29=0,"Cobertura sin análisis","Cobertura con análisis")))</f>
        <v>Cobertura con análisis</v>
      </c>
      <c r="L29" s="10" t="str">
        <f aca="false">IF(E29&gt;=5,"Alta concentración: revisar superposición","")</f>
        <v/>
      </c>
      <c r="M29" s="11" t="str">
        <f aca="false">HYPERLINK("https://catalogodatos.gub.uy/dataset?q="&amp;SUBSTITUTE('Taxonomía temas'!J26," ","+"),"Buscar datasets")</f>
        <v>Buscar datasets</v>
      </c>
    </row>
    <row r="30" customFormat="false" ht="15" hidden="false" customHeight="false" outlineLevel="0" collapsed="false">
      <c r="A30" s="10" t="str">
        <f aca="false">'Taxonomía temas'!A27</f>
        <v>T26</v>
      </c>
      <c r="B30" s="10" t="str">
        <f aca="false">'Taxonomía temas'!D27</f>
        <v>Salud y población</v>
      </c>
      <c r="C30" s="10" t="str">
        <f aca="false">'Taxonomía temas'!E27</f>
        <v>Migración y movilidad humana</v>
      </c>
      <c r="D30" s="10" t="n">
        <f aca="false">'Taxonomía temas'!F27</f>
        <v>10</v>
      </c>
      <c r="E30" s="10" t="n">
        <f aca="false">COUNTIFS(Inventario!$K$2:$K$1000,A30,Inventario!$D$2:$D$1000,"&lt;&gt;Internacional")</f>
        <v>2</v>
      </c>
      <c r="F30" s="10" t="n">
        <f aca="false">COUNTIFS(Inventario!$M$2:$M$1000,"*"&amp;A30&amp;"*",Inventario!$D$2:$D$1000,"&lt;&gt;Internacional")</f>
        <v>2</v>
      </c>
      <c r="G30" s="10" t="n">
        <f aca="false">COUNTIFS(Inventario!$M$2:$M$1000,"*"&amp;A30&amp;"*",Inventario!$D$2:$D$1000,"&lt;&gt;Internacional",Inventario!$Q$2:$Q$1000,"4*")</f>
        <v>2</v>
      </c>
      <c r="H30" s="10" t="n">
        <f aca="false">COUNTIFS(Inventario!$M$2:$M$1000,"*"&amp;A30&amp;"*",Inventario!$D$2:$D$1000,"&lt;&gt;Internacional",Inventario!$Q$2:$Q$1000,"3*")</f>
        <v>0</v>
      </c>
      <c r="I30" s="10" t="n">
        <f aca="false">COUNTIFS(Inventario!$M$2:$M$1000,"*"&amp;A30&amp;"*",Inventario!$D$2:$D$1000,"&lt;&gt;Internacional",Inventario!$W$2:$W$1000,"Sí")</f>
        <v>0</v>
      </c>
      <c r="J30" s="10" t="n">
        <f aca="false">COUNTIFS(Inventario!$M$2:$M$1000,"*"&amp;A30&amp;"*",Inventario!$D$2:$D$1000,"Internacional")</f>
        <v>0</v>
      </c>
      <c r="K30" s="10" t="str">
        <f aca="false">IF(F30=0,IF(J30&gt;0,"Sin cobertura nacional (solo internacional)","Sin cobertura"),IF(E30=0,"Cobertura indirecta",IF(G30=0,"Cobertura sin análisis","Cobertura con análisis")))</f>
        <v>Cobertura con análisis</v>
      </c>
      <c r="L30" s="10" t="str">
        <f aca="false">IF(E30&gt;=5,"Alta concentración: revisar superposición","")</f>
        <v/>
      </c>
      <c r="M30" s="11" t="str">
        <f aca="false">HYPERLINK("https://catalogodatos.gub.uy/dataset?q="&amp;SUBSTITUTE('Taxonomía temas'!J27," ","+"),"Buscar datasets")</f>
        <v>Buscar datasets</v>
      </c>
    </row>
    <row r="31" customFormat="false" ht="15" hidden="false" customHeight="false" outlineLevel="0" collapsed="false">
      <c r="A31" s="10" t="str">
        <f aca="false">'Taxonomía temas'!A28</f>
        <v>T27</v>
      </c>
      <c r="B31" s="10" t="str">
        <f aca="false">'Taxonomía temas'!D28</f>
        <v>Educación, cultura y deporte</v>
      </c>
      <c r="C31" s="10" t="str">
        <f aca="false">'Taxonomía temas'!E28</f>
        <v>Educación inicial, primaria y media</v>
      </c>
      <c r="D31" s="10" t="n">
        <f aca="false">'Taxonomía temas'!F28</f>
        <v>4</v>
      </c>
      <c r="E31" s="10" t="n">
        <f aca="false">COUNTIFS(Inventario!$K$2:$K$1000,A31,Inventario!$D$2:$D$1000,"&lt;&gt;Internacional")</f>
        <v>7</v>
      </c>
      <c r="F31" s="10" t="n">
        <f aca="false">COUNTIFS(Inventario!$M$2:$M$1000,"*"&amp;A31&amp;"*",Inventario!$D$2:$D$1000,"&lt;&gt;Internacional")</f>
        <v>10</v>
      </c>
      <c r="G31" s="10" t="n">
        <f aca="false">COUNTIFS(Inventario!$M$2:$M$1000,"*"&amp;A31&amp;"*",Inventario!$D$2:$D$1000,"&lt;&gt;Internacional",Inventario!$Q$2:$Q$1000,"4*")</f>
        <v>5</v>
      </c>
      <c r="H31" s="10" t="n">
        <f aca="false">COUNTIFS(Inventario!$M$2:$M$1000,"*"&amp;A31&amp;"*",Inventario!$D$2:$D$1000,"&lt;&gt;Internacional",Inventario!$Q$2:$Q$1000,"3*")</f>
        <v>4</v>
      </c>
      <c r="I31" s="10" t="n">
        <f aca="false">COUNTIFS(Inventario!$M$2:$M$1000,"*"&amp;A31&amp;"*",Inventario!$D$2:$D$1000,"&lt;&gt;Internacional",Inventario!$W$2:$W$1000,"Sí")</f>
        <v>3</v>
      </c>
      <c r="J31" s="10" t="n">
        <f aca="false">COUNTIFS(Inventario!$M$2:$M$1000,"*"&amp;A31&amp;"*",Inventario!$D$2:$D$1000,"Internacional")</f>
        <v>1</v>
      </c>
      <c r="K31" s="10" t="str">
        <f aca="false">IF(F31=0,IF(J31&gt;0,"Sin cobertura nacional (solo internacional)","Sin cobertura"),IF(E31=0,"Cobertura indirecta",IF(G31=0,"Cobertura sin análisis","Cobertura con análisis")))</f>
        <v>Cobertura con análisis</v>
      </c>
      <c r="L31" s="10" t="str">
        <f aca="false">IF(E31&gt;=5,"Alta concentración: revisar superposición","")</f>
        <v>Alta concentración: revisar superposición</v>
      </c>
      <c r="M31" s="11" t="str">
        <f aca="false">HYPERLINK("https://catalogodatos.gub.uy/dataset?q="&amp;SUBSTITUTE('Taxonomía temas'!J28," ","+"),"Buscar datasets")</f>
        <v>Buscar datasets</v>
      </c>
    </row>
    <row r="32" customFormat="false" ht="15" hidden="false" customHeight="false" outlineLevel="0" collapsed="false">
      <c r="A32" s="10" t="str">
        <f aca="false">'Taxonomía temas'!A29</f>
        <v>T28</v>
      </c>
      <c r="B32" s="10" t="str">
        <f aca="false">'Taxonomía temas'!D29</f>
        <v>Educación, cultura y deporte</v>
      </c>
      <c r="C32" s="10" t="str">
        <f aca="false">'Taxonomía temas'!E29</f>
        <v>Educación técnica y tecnológica</v>
      </c>
      <c r="D32" s="10" t="n">
        <f aca="false">'Taxonomía temas'!F29</f>
        <v>4</v>
      </c>
      <c r="E32" s="10" t="n">
        <f aca="false">COUNTIFS(Inventario!$K$2:$K$1000,A32,Inventario!$D$2:$D$1000,"&lt;&gt;Internacional")</f>
        <v>2</v>
      </c>
      <c r="F32" s="10" t="n">
        <f aca="false">COUNTIFS(Inventario!$M$2:$M$1000,"*"&amp;A32&amp;"*",Inventario!$D$2:$D$1000,"&lt;&gt;Internacional")</f>
        <v>3</v>
      </c>
      <c r="G32" s="10" t="n">
        <f aca="false">COUNTIFS(Inventario!$M$2:$M$1000,"*"&amp;A32&amp;"*",Inventario!$D$2:$D$1000,"&lt;&gt;Internacional",Inventario!$Q$2:$Q$1000,"4*")</f>
        <v>1</v>
      </c>
      <c r="H32" s="10" t="n">
        <f aca="false">COUNTIFS(Inventario!$M$2:$M$1000,"*"&amp;A32&amp;"*",Inventario!$D$2:$D$1000,"&lt;&gt;Internacional",Inventario!$Q$2:$Q$1000,"3*")</f>
        <v>1</v>
      </c>
      <c r="I32" s="10" t="n">
        <f aca="false">COUNTIFS(Inventario!$M$2:$M$1000,"*"&amp;A32&amp;"*",Inventario!$D$2:$D$1000,"&lt;&gt;Internacional",Inventario!$W$2:$W$1000,"Sí")</f>
        <v>1</v>
      </c>
      <c r="J32" s="10" t="n">
        <f aca="false">COUNTIFS(Inventario!$M$2:$M$1000,"*"&amp;A32&amp;"*",Inventario!$D$2:$D$1000,"Internacional")</f>
        <v>0</v>
      </c>
      <c r="K32" s="10" t="str">
        <f aca="false">IF(F32=0,IF(J32&gt;0,"Sin cobertura nacional (solo internacional)","Sin cobertura"),IF(E32=0,"Cobertura indirecta",IF(G32=0,"Cobertura sin análisis","Cobertura con análisis")))</f>
        <v>Cobertura con análisis</v>
      </c>
      <c r="L32" s="10" t="str">
        <f aca="false">IF(E32&gt;=5,"Alta concentración: revisar superposición","")</f>
        <v/>
      </c>
      <c r="M32" s="11" t="str">
        <f aca="false">HYPERLINK("https://catalogodatos.gub.uy/dataset?q="&amp;SUBSTITUTE('Taxonomía temas'!J29," ","+"),"Buscar datasets")</f>
        <v>Buscar datasets</v>
      </c>
    </row>
    <row r="33" customFormat="false" ht="15" hidden="false" customHeight="false" outlineLevel="0" collapsed="false">
      <c r="A33" s="10" t="str">
        <f aca="false">'Taxonomía temas'!A30</f>
        <v>T29</v>
      </c>
      <c r="B33" s="10" t="str">
        <f aca="false">'Taxonomía temas'!D30</f>
        <v>Educación, cultura y deporte</v>
      </c>
      <c r="C33" s="10" t="str">
        <f aca="false">'Taxonomía temas'!E30</f>
        <v>Educación superior y universidad</v>
      </c>
      <c r="D33" s="10" t="n">
        <f aca="false">'Taxonomía temas'!F30</f>
        <v>4</v>
      </c>
      <c r="E33" s="10" t="n">
        <f aca="false">COUNTIFS(Inventario!$K$2:$K$1000,A33,Inventario!$D$2:$D$1000,"&lt;&gt;Internacional")</f>
        <v>3</v>
      </c>
      <c r="F33" s="10" t="n">
        <f aca="false">COUNTIFS(Inventario!$M$2:$M$1000,"*"&amp;A33&amp;"*",Inventario!$D$2:$D$1000,"&lt;&gt;Internacional")</f>
        <v>4</v>
      </c>
      <c r="G33" s="10" t="n">
        <f aca="false">COUNTIFS(Inventario!$M$2:$M$1000,"*"&amp;A33&amp;"*",Inventario!$D$2:$D$1000,"&lt;&gt;Internacional",Inventario!$Q$2:$Q$1000,"4*")</f>
        <v>1</v>
      </c>
      <c r="H33" s="10" t="n">
        <f aca="false">COUNTIFS(Inventario!$M$2:$M$1000,"*"&amp;A33&amp;"*",Inventario!$D$2:$D$1000,"&lt;&gt;Internacional",Inventario!$Q$2:$Q$1000,"3*")</f>
        <v>0</v>
      </c>
      <c r="I33" s="10" t="n">
        <f aca="false">COUNTIFS(Inventario!$M$2:$M$1000,"*"&amp;A33&amp;"*",Inventario!$D$2:$D$1000,"&lt;&gt;Internacional",Inventario!$W$2:$W$1000,"Sí")</f>
        <v>2</v>
      </c>
      <c r="J33" s="10" t="n">
        <f aca="false">COUNTIFS(Inventario!$M$2:$M$1000,"*"&amp;A33&amp;"*",Inventario!$D$2:$D$1000,"Internacional")</f>
        <v>3</v>
      </c>
      <c r="K33" s="10" t="str">
        <f aca="false">IF(F33=0,IF(J33&gt;0,"Sin cobertura nacional (solo internacional)","Sin cobertura"),IF(E33=0,"Cobertura indirecta",IF(G33=0,"Cobertura sin análisis","Cobertura con análisis")))</f>
        <v>Cobertura con análisis</v>
      </c>
      <c r="L33" s="10" t="str">
        <f aca="false">IF(E33&gt;=5,"Alta concentración: revisar superposición","")</f>
        <v/>
      </c>
      <c r="M33" s="11" t="str">
        <f aca="false">HYPERLINK("https://catalogodatos.gub.uy/dataset?q="&amp;SUBSTITUTE('Taxonomía temas'!J30," ","+"),"Buscar datasets")</f>
        <v>Buscar datasets</v>
      </c>
    </row>
    <row r="34" customFormat="false" ht="15" hidden="false" customHeight="false" outlineLevel="0" collapsed="false">
      <c r="A34" s="10" t="str">
        <f aca="false">'Taxonomía temas'!A31</f>
        <v>T30</v>
      </c>
      <c r="B34" s="10" t="str">
        <f aca="false">'Taxonomía temas'!D31</f>
        <v>Educación, cultura y deporte</v>
      </c>
      <c r="C34" s="10" t="str">
        <f aca="false">'Taxonomía temas'!E31</f>
        <v>Cultura</v>
      </c>
      <c r="D34" s="10" t="n">
        <f aca="false">'Taxonomía temas'!F31</f>
        <v>11</v>
      </c>
      <c r="E34" s="10" t="n">
        <f aca="false">COUNTIFS(Inventario!$K$2:$K$1000,A34,Inventario!$D$2:$D$1000,"&lt;&gt;Internacional")</f>
        <v>1</v>
      </c>
      <c r="F34" s="10" t="n">
        <f aca="false">COUNTIFS(Inventario!$M$2:$M$1000,"*"&amp;A34&amp;"*",Inventario!$D$2:$D$1000,"&lt;&gt;Internacional")</f>
        <v>1</v>
      </c>
      <c r="G34" s="10" t="n">
        <f aca="false">COUNTIFS(Inventario!$M$2:$M$1000,"*"&amp;A34&amp;"*",Inventario!$D$2:$D$1000,"&lt;&gt;Internacional",Inventario!$Q$2:$Q$1000,"4*")</f>
        <v>0</v>
      </c>
      <c r="H34" s="10" t="n">
        <f aca="false">COUNTIFS(Inventario!$M$2:$M$1000,"*"&amp;A34&amp;"*",Inventario!$D$2:$D$1000,"&lt;&gt;Internacional",Inventario!$Q$2:$Q$1000,"3*")</f>
        <v>1</v>
      </c>
      <c r="I34" s="10" t="n">
        <f aca="false">COUNTIFS(Inventario!$M$2:$M$1000,"*"&amp;A34&amp;"*",Inventario!$D$2:$D$1000,"&lt;&gt;Internacional",Inventario!$W$2:$W$1000,"Sí")</f>
        <v>0</v>
      </c>
      <c r="J34" s="10" t="n">
        <f aca="false">COUNTIFS(Inventario!$M$2:$M$1000,"*"&amp;A34&amp;"*",Inventario!$D$2:$D$1000,"Internacional")</f>
        <v>1</v>
      </c>
      <c r="K34" s="10" t="str">
        <f aca="false">IF(F34=0,IF(J34&gt;0,"Sin cobertura nacional (solo internacional)","Sin cobertura"),IF(E34=0,"Cobertura indirecta",IF(G34=0,"Cobertura sin análisis","Cobertura con análisis")))</f>
        <v>Cobertura sin análisis</v>
      </c>
      <c r="L34" s="10" t="str">
        <f aca="false">IF(E34&gt;=5,"Alta concentración: revisar superposición","")</f>
        <v/>
      </c>
      <c r="M34" s="11" t="str">
        <f aca="false">HYPERLINK("https://catalogodatos.gub.uy/dataset?q="&amp;SUBSTITUTE('Taxonomía temas'!J31," ","+"),"Buscar datasets")</f>
        <v>Buscar datasets</v>
      </c>
    </row>
    <row r="35" customFormat="false" ht="15" hidden="false" customHeight="false" outlineLevel="0" collapsed="false">
      <c r="A35" s="10" t="str">
        <f aca="false">'Taxonomía temas'!A32</f>
        <v>T31</v>
      </c>
      <c r="B35" s="10" t="str">
        <f aca="false">'Taxonomía temas'!D32</f>
        <v>Educación, cultura y deporte</v>
      </c>
      <c r="C35" s="10" t="str">
        <f aca="false">'Taxonomía temas'!E32</f>
        <v>Deporte y actividad física</v>
      </c>
      <c r="D35" s="10" t="n">
        <f aca="false">'Taxonomía temas'!F32</f>
        <v>3</v>
      </c>
      <c r="E35" s="10" t="n">
        <f aca="false">COUNTIFS(Inventario!$K$2:$K$1000,A35,Inventario!$D$2:$D$1000,"&lt;&gt;Internacional")</f>
        <v>1</v>
      </c>
      <c r="F35" s="10" t="n">
        <f aca="false">COUNTIFS(Inventario!$M$2:$M$1000,"*"&amp;A35&amp;"*",Inventario!$D$2:$D$1000,"&lt;&gt;Internacional")</f>
        <v>1</v>
      </c>
      <c r="G35" s="10" t="n">
        <f aca="false">COUNTIFS(Inventario!$M$2:$M$1000,"*"&amp;A35&amp;"*",Inventario!$D$2:$D$1000,"&lt;&gt;Internacional",Inventario!$Q$2:$Q$1000,"4*")</f>
        <v>0</v>
      </c>
      <c r="H35" s="10" t="n">
        <f aca="false">COUNTIFS(Inventario!$M$2:$M$1000,"*"&amp;A35&amp;"*",Inventario!$D$2:$D$1000,"&lt;&gt;Internacional",Inventario!$Q$2:$Q$1000,"3*")</f>
        <v>1</v>
      </c>
      <c r="I35" s="10" t="n">
        <f aca="false">COUNTIFS(Inventario!$M$2:$M$1000,"*"&amp;A35&amp;"*",Inventario!$D$2:$D$1000,"&lt;&gt;Internacional",Inventario!$W$2:$W$1000,"Sí")</f>
        <v>0</v>
      </c>
      <c r="J35" s="10" t="n">
        <f aca="false">COUNTIFS(Inventario!$M$2:$M$1000,"*"&amp;A35&amp;"*",Inventario!$D$2:$D$1000,"Internacional")</f>
        <v>0</v>
      </c>
      <c r="K35" s="10" t="str">
        <f aca="false">IF(F35=0,IF(J35&gt;0,"Sin cobertura nacional (solo internacional)","Sin cobertura"),IF(E35=0,"Cobertura indirecta",IF(G35=0,"Cobertura sin análisis","Cobertura con análisis")))</f>
        <v>Cobertura sin análisis</v>
      </c>
      <c r="L35" s="10" t="str">
        <f aca="false">IF(E35&gt;=5,"Alta concentración: revisar superposición","")</f>
        <v/>
      </c>
      <c r="M35" s="11" t="str">
        <f aca="false">HYPERLINK("https://catalogodatos.gub.uy/dataset?q="&amp;SUBSTITUTE('Taxonomía temas'!J32," ","+"),"Buscar datasets")</f>
        <v>Buscar datasets</v>
      </c>
    </row>
    <row r="36" customFormat="false" ht="15" hidden="false" customHeight="false" outlineLevel="0" collapsed="false">
      <c r="A36" s="10" t="str">
        <f aca="false">'Taxonomía temas'!A33</f>
        <v>T32</v>
      </c>
      <c r="B36" s="10" t="str">
        <f aca="false">'Taxonomía temas'!D33</f>
        <v>Ambiente, energía y clima</v>
      </c>
      <c r="C36" s="10" t="str">
        <f aca="false">'Taxonomía temas'!E33</f>
        <v>Ambiente y biodiversidad</v>
      </c>
      <c r="D36" s="10" t="n">
        <f aca="false">'Taxonomía temas'!F33</f>
        <v>15</v>
      </c>
      <c r="E36" s="10" t="n">
        <f aca="false">COUNTIFS(Inventario!$K$2:$K$1000,A36,Inventario!$D$2:$D$1000,"&lt;&gt;Internacional")</f>
        <v>5</v>
      </c>
      <c r="F36" s="10" t="n">
        <f aca="false">COUNTIFS(Inventario!$M$2:$M$1000,"*"&amp;A36&amp;"*",Inventario!$D$2:$D$1000,"&lt;&gt;Internacional")</f>
        <v>6</v>
      </c>
      <c r="G36" s="10" t="n">
        <f aca="false">COUNTIFS(Inventario!$M$2:$M$1000,"*"&amp;A36&amp;"*",Inventario!$D$2:$D$1000,"&lt;&gt;Internacional",Inventario!$Q$2:$Q$1000,"4*")</f>
        <v>2</v>
      </c>
      <c r="H36" s="10" t="n">
        <f aca="false">COUNTIFS(Inventario!$M$2:$M$1000,"*"&amp;A36&amp;"*",Inventario!$D$2:$D$1000,"&lt;&gt;Internacional",Inventario!$Q$2:$Q$1000,"3*")</f>
        <v>4</v>
      </c>
      <c r="I36" s="10" t="n">
        <f aca="false">COUNTIFS(Inventario!$M$2:$M$1000,"*"&amp;A36&amp;"*",Inventario!$D$2:$D$1000,"&lt;&gt;Internacional",Inventario!$W$2:$W$1000,"Sí")</f>
        <v>1</v>
      </c>
      <c r="J36" s="10" t="n">
        <f aca="false">COUNTIFS(Inventario!$M$2:$M$1000,"*"&amp;A36&amp;"*",Inventario!$D$2:$D$1000,"Internacional")</f>
        <v>1</v>
      </c>
      <c r="K36" s="10" t="str">
        <f aca="false">IF(F36=0,IF(J36&gt;0,"Sin cobertura nacional (solo internacional)","Sin cobertura"),IF(E36=0,"Cobertura indirecta",IF(G36=0,"Cobertura sin análisis","Cobertura con análisis")))</f>
        <v>Cobertura con análisis</v>
      </c>
      <c r="L36" s="10" t="str">
        <f aca="false">IF(E36&gt;=5,"Alta concentración: revisar superposición","")</f>
        <v>Alta concentración: revisar superposición</v>
      </c>
      <c r="M36" s="11" t="str">
        <f aca="false">HYPERLINK("https://catalogodatos.gub.uy/dataset?q="&amp;SUBSTITUTE('Taxonomía temas'!J33," ","+"),"Buscar datasets")</f>
        <v>Buscar datasets</v>
      </c>
    </row>
    <row r="37" customFormat="false" ht="15" hidden="false" customHeight="false" outlineLevel="0" collapsed="false">
      <c r="A37" s="10" t="str">
        <f aca="false">'Taxonomía temas'!A34</f>
        <v>T33</v>
      </c>
      <c r="B37" s="10" t="str">
        <f aca="false">'Taxonomía temas'!D34</f>
        <v>Ambiente, energía y clima</v>
      </c>
      <c r="C37" s="10" t="str">
        <f aca="false">'Taxonomía temas'!E34</f>
        <v>Agua y recursos hídricos</v>
      </c>
      <c r="D37" s="10" t="n">
        <f aca="false">'Taxonomía temas'!F34</f>
        <v>6</v>
      </c>
      <c r="E37" s="10" t="n">
        <f aca="false">COUNTIFS(Inventario!$K$2:$K$1000,A37,Inventario!$D$2:$D$1000,"&lt;&gt;Internacional")</f>
        <v>3</v>
      </c>
      <c r="F37" s="10" t="n">
        <f aca="false">COUNTIFS(Inventario!$M$2:$M$1000,"*"&amp;A37&amp;"*",Inventario!$D$2:$D$1000,"&lt;&gt;Internacional")</f>
        <v>7</v>
      </c>
      <c r="G37" s="10" t="n">
        <f aca="false">COUNTIFS(Inventario!$M$2:$M$1000,"*"&amp;A37&amp;"*",Inventario!$D$2:$D$1000,"&lt;&gt;Internacional",Inventario!$Q$2:$Q$1000,"4*")</f>
        <v>2</v>
      </c>
      <c r="H37" s="10" t="n">
        <f aca="false">COUNTIFS(Inventario!$M$2:$M$1000,"*"&amp;A37&amp;"*",Inventario!$D$2:$D$1000,"&lt;&gt;Internacional",Inventario!$Q$2:$Q$1000,"3*")</f>
        <v>3</v>
      </c>
      <c r="I37" s="10" t="n">
        <f aca="false">COUNTIFS(Inventario!$M$2:$M$1000,"*"&amp;A37&amp;"*",Inventario!$D$2:$D$1000,"&lt;&gt;Internacional",Inventario!$W$2:$W$1000,"Sí")</f>
        <v>1</v>
      </c>
      <c r="J37" s="10" t="n">
        <f aca="false">COUNTIFS(Inventario!$M$2:$M$1000,"*"&amp;A37&amp;"*",Inventario!$D$2:$D$1000,"Internacional")</f>
        <v>0</v>
      </c>
      <c r="K37" s="10" t="str">
        <f aca="false">IF(F37=0,IF(J37&gt;0,"Sin cobertura nacional (solo internacional)","Sin cobertura"),IF(E37=0,"Cobertura indirecta",IF(G37=0,"Cobertura sin análisis","Cobertura con análisis")))</f>
        <v>Cobertura con análisis</v>
      </c>
      <c r="L37" s="10" t="str">
        <f aca="false">IF(E37&gt;=5,"Alta concentración: revisar superposición","")</f>
        <v/>
      </c>
      <c r="M37" s="11" t="str">
        <f aca="false">HYPERLINK("https://catalogodatos.gub.uy/dataset?q="&amp;SUBSTITUTE('Taxonomía temas'!J34," ","+"),"Buscar datasets")</f>
        <v>Buscar datasets</v>
      </c>
    </row>
    <row r="38" customFormat="false" ht="15" hidden="false" customHeight="false" outlineLevel="0" collapsed="false">
      <c r="A38" s="10" t="str">
        <f aca="false">'Taxonomía temas'!A35</f>
        <v>T34</v>
      </c>
      <c r="B38" s="10" t="str">
        <f aca="false">'Taxonomía temas'!D35</f>
        <v>Ambiente, energía y clima</v>
      </c>
      <c r="C38" s="10" t="str">
        <f aca="false">'Taxonomía temas'!E35</f>
        <v>Energía</v>
      </c>
      <c r="D38" s="10" t="n">
        <f aca="false">'Taxonomía temas'!F35</f>
        <v>7</v>
      </c>
      <c r="E38" s="10" t="n">
        <f aca="false">COUNTIFS(Inventario!$K$2:$K$1000,A38,Inventario!$D$2:$D$1000,"&lt;&gt;Internacional")</f>
        <v>6</v>
      </c>
      <c r="F38" s="10" t="n">
        <f aca="false">COUNTIFS(Inventario!$M$2:$M$1000,"*"&amp;A38&amp;"*",Inventario!$D$2:$D$1000,"&lt;&gt;Internacional")</f>
        <v>6</v>
      </c>
      <c r="G38" s="10" t="n">
        <f aca="false">COUNTIFS(Inventario!$M$2:$M$1000,"*"&amp;A38&amp;"*",Inventario!$D$2:$D$1000,"&lt;&gt;Internacional",Inventario!$Q$2:$Q$1000,"4*")</f>
        <v>1</v>
      </c>
      <c r="H38" s="10" t="n">
        <f aca="false">COUNTIFS(Inventario!$M$2:$M$1000,"*"&amp;A38&amp;"*",Inventario!$D$2:$D$1000,"&lt;&gt;Internacional",Inventario!$Q$2:$Q$1000,"3*")</f>
        <v>3</v>
      </c>
      <c r="I38" s="10" t="n">
        <f aca="false">COUNTIFS(Inventario!$M$2:$M$1000,"*"&amp;A38&amp;"*",Inventario!$D$2:$D$1000,"&lt;&gt;Internacional",Inventario!$W$2:$W$1000,"Sí")</f>
        <v>1</v>
      </c>
      <c r="J38" s="10" t="n">
        <f aca="false">COUNTIFS(Inventario!$M$2:$M$1000,"*"&amp;A38&amp;"*",Inventario!$D$2:$D$1000,"Internacional")</f>
        <v>1</v>
      </c>
      <c r="K38" s="10" t="str">
        <f aca="false">IF(F38=0,IF(J38&gt;0,"Sin cobertura nacional (solo internacional)","Sin cobertura"),IF(E38=0,"Cobertura indirecta",IF(G38=0,"Cobertura sin análisis","Cobertura con análisis")))</f>
        <v>Cobertura con análisis</v>
      </c>
      <c r="L38" s="10" t="str">
        <f aca="false">IF(E38&gt;=5,"Alta concentración: revisar superposición","")</f>
        <v>Alta concentración: revisar superposición</v>
      </c>
      <c r="M38" s="11" t="str">
        <f aca="false">HYPERLINK("https://catalogodatos.gub.uy/dataset?q="&amp;SUBSTITUTE('Taxonomía temas'!J35," ","+"),"Buscar datasets")</f>
        <v>Buscar datasets</v>
      </c>
    </row>
    <row r="39" customFormat="false" ht="15" hidden="false" customHeight="false" outlineLevel="0" collapsed="false">
      <c r="A39" s="10" t="str">
        <f aca="false">'Taxonomía temas'!A36</f>
        <v>T35</v>
      </c>
      <c r="B39" s="10" t="str">
        <f aca="false">'Taxonomía temas'!D36</f>
        <v>Ambiente, energía y clima</v>
      </c>
      <c r="C39" s="10" t="str">
        <f aca="false">'Taxonomía temas'!E36</f>
        <v>Clima, meteorología y cambio climático</v>
      </c>
      <c r="D39" s="10" t="n">
        <f aca="false">'Taxonomía temas'!F36</f>
        <v>13</v>
      </c>
      <c r="E39" s="10" t="n">
        <f aca="false">COUNTIFS(Inventario!$K$2:$K$1000,A39,Inventario!$D$2:$D$1000,"&lt;&gt;Internacional")</f>
        <v>5</v>
      </c>
      <c r="F39" s="10" t="n">
        <f aca="false">COUNTIFS(Inventario!$M$2:$M$1000,"*"&amp;A39&amp;"*",Inventario!$D$2:$D$1000,"&lt;&gt;Internacional")</f>
        <v>10</v>
      </c>
      <c r="G39" s="10" t="n">
        <f aca="false">COUNTIFS(Inventario!$M$2:$M$1000,"*"&amp;A39&amp;"*",Inventario!$D$2:$D$1000,"&lt;&gt;Internacional",Inventario!$Q$2:$Q$1000,"4*")</f>
        <v>2</v>
      </c>
      <c r="H39" s="10" t="n">
        <f aca="false">COUNTIFS(Inventario!$M$2:$M$1000,"*"&amp;A39&amp;"*",Inventario!$D$2:$D$1000,"&lt;&gt;Internacional",Inventario!$Q$2:$Q$1000,"3*")</f>
        <v>5</v>
      </c>
      <c r="I39" s="10" t="n">
        <f aca="false">COUNTIFS(Inventario!$M$2:$M$1000,"*"&amp;A39&amp;"*",Inventario!$D$2:$D$1000,"&lt;&gt;Internacional",Inventario!$W$2:$W$1000,"Sí")</f>
        <v>2</v>
      </c>
      <c r="J39" s="10" t="n">
        <f aca="false">COUNTIFS(Inventario!$M$2:$M$1000,"*"&amp;A39&amp;"*",Inventario!$D$2:$D$1000,"Internacional")</f>
        <v>1</v>
      </c>
      <c r="K39" s="10" t="str">
        <f aca="false">IF(F39=0,IF(J39&gt;0,"Sin cobertura nacional (solo internacional)","Sin cobertura"),IF(E39=0,"Cobertura indirecta",IF(G39=0,"Cobertura sin análisis","Cobertura con análisis")))</f>
        <v>Cobertura con análisis</v>
      </c>
      <c r="L39" s="10" t="str">
        <f aca="false">IF(E39&gt;=5,"Alta concentración: revisar superposición","")</f>
        <v>Alta concentración: revisar superposición</v>
      </c>
      <c r="M39" s="11" t="str">
        <f aca="false">HYPERLINK("https://catalogodatos.gub.uy/dataset?q="&amp;SUBSTITUTE('Taxonomía temas'!J36," ","+"),"Buscar datasets")</f>
        <v>Buscar datasets</v>
      </c>
    </row>
    <row r="40" customFormat="false" ht="15" hidden="false" customHeight="false" outlineLevel="0" collapsed="false">
      <c r="A40" s="10" t="str">
        <f aca="false">'Taxonomía temas'!A37</f>
        <v>T36</v>
      </c>
      <c r="B40" s="10" t="str">
        <f aca="false">'Taxonomía temas'!D37</f>
        <v>Ambiente, energía y clima</v>
      </c>
      <c r="C40" s="10" t="str">
        <f aca="false">'Taxonomía temas'!E37</f>
        <v>Residuos y economía circular</v>
      </c>
      <c r="D40" s="10" t="n">
        <f aca="false">'Taxonomía temas'!F37</f>
        <v>12</v>
      </c>
      <c r="E40" s="10" t="n">
        <f aca="false">COUNTIFS(Inventario!$K$2:$K$1000,A40,Inventario!$D$2:$D$1000,"&lt;&gt;Internacional")</f>
        <v>2</v>
      </c>
      <c r="F40" s="10" t="n">
        <f aca="false">COUNTIFS(Inventario!$M$2:$M$1000,"*"&amp;A40&amp;"*",Inventario!$D$2:$D$1000,"&lt;&gt;Internacional")</f>
        <v>4</v>
      </c>
      <c r="G40" s="10" t="n">
        <f aca="false">COUNTIFS(Inventario!$M$2:$M$1000,"*"&amp;A40&amp;"*",Inventario!$D$2:$D$1000,"&lt;&gt;Internacional",Inventario!$Q$2:$Q$1000,"4*")</f>
        <v>2</v>
      </c>
      <c r="H40" s="10" t="n">
        <f aca="false">COUNTIFS(Inventario!$M$2:$M$1000,"*"&amp;A40&amp;"*",Inventario!$D$2:$D$1000,"&lt;&gt;Internacional",Inventario!$Q$2:$Q$1000,"3*")</f>
        <v>2</v>
      </c>
      <c r="I40" s="10" t="n">
        <f aca="false">COUNTIFS(Inventario!$M$2:$M$1000,"*"&amp;A40&amp;"*",Inventario!$D$2:$D$1000,"&lt;&gt;Internacional",Inventario!$W$2:$W$1000,"Sí")</f>
        <v>0</v>
      </c>
      <c r="J40" s="10" t="n">
        <f aca="false">COUNTIFS(Inventario!$M$2:$M$1000,"*"&amp;A40&amp;"*",Inventario!$D$2:$D$1000,"Internacional")</f>
        <v>0</v>
      </c>
      <c r="K40" s="10" t="str">
        <f aca="false">IF(F40=0,IF(J40&gt;0,"Sin cobertura nacional (solo internacional)","Sin cobertura"),IF(E40=0,"Cobertura indirecta",IF(G40=0,"Cobertura sin análisis","Cobertura con análisis")))</f>
        <v>Cobertura con análisis</v>
      </c>
      <c r="L40" s="10" t="str">
        <f aca="false">IF(E40&gt;=5,"Alta concentración: revisar superposición","")</f>
        <v/>
      </c>
      <c r="M40" s="11" t="str">
        <f aca="false">HYPERLINK("https://catalogodatos.gub.uy/dataset?q="&amp;SUBSTITUTE('Taxonomía temas'!J37," ","+"),"Buscar datasets")</f>
        <v>Buscar datasets</v>
      </c>
    </row>
    <row r="41" customFormat="false" ht="15" hidden="false" customHeight="false" outlineLevel="0" collapsed="false">
      <c r="A41" s="10" t="str">
        <f aca="false">'Taxonomía temas'!A38</f>
        <v>T37</v>
      </c>
      <c r="B41" s="10" t="str">
        <f aca="false">'Taxonomía temas'!D38</f>
        <v>Ambiente, energía y clima</v>
      </c>
      <c r="C41" s="10" t="str">
        <f aca="false">'Taxonomía temas'!E38</f>
        <v>Suelos, geología y recursos naturales</v>
      </c>
      <c r="D41" s="10" t="n">
        <f aca="false">'Taxonomía temas'!F38</f>
        <v>15</v>
      </c>
      <c r="E41" s="10" t="n">
        <f aca="false">COUNTIFS(Inventario!$K$2:$K$1000,A41,Inventario!$D$2:$D$1000,"&lt;&gt;Internacional")</f>
        <v>2</v>
      </c>
      <c r="F41" s="10" t="n">
        <f aca="false">COUNTIFS(Inventario!$M$2:$M$1000,"*"&amp;A41&amp;"*",Inventario!$D$2:$D$1000,"&lt;&gt;Internacional")</f>
        <v>4</v>
      </c>
      <c r="G41" s="10" t="n">
        <f aca="false">COUNTIFS(Inventario!$M$2:$M$1000,"*"&amp;A41&amp;"*",Inventario!$D$2:$D$1000,"&lt;&gt;Internacional",Inventario!$Q$2:$Q$1000,"4*")</f>
        <v>0</v>
      </c>
      <c r="H41" s="10" t="n">
        <f aca="false">COUNTIFS(Inventario!$M$2:$M$1000,"*"&amp;A41&amp;"*",Inventario!$D$2:$D$1000,"&lt;&gt;Internacional",Inventario!$Q$2:$Q$1000,"3*")</f>
        <v>4</v>
      </c>
      <c r="I41" s="10" t="n">
        <f aca="false">COUNTIFS(Inventario!$M$2:$M$1000,"*"&amp;A41&amp;"*",Inventario!$D$2:$D$1000,"&lt;&gt;Internacional",Inventario!$W$2:$W$1000,"Sí")</f>
        <v>0</v>
      </c>
      <c r="J41" s="10" t="n">
        <f aca="false">COUNTIFS(Inventario!$M$2:$M$1000,"*"&amp;A41&amp;"*",Inventario!$D$2:$D$1000,"Internacional")</f>
        <v>0</v>
      </c>
      <c r="K41" s="10" t="str">
        <f aca="false">IF(F41=0,IF(J41&gt;0,"Sin cobertura nacional (solo internacional)","Sin cobertura"),IF(E41=0,"Cobertura indirecta",IF(G41=0,"Cobertura sin análisis","Cobertura con análisis")))</f>
        <v>Cobertura sin análisis</v>
      </c>
      <c r="L41" s="10" t="str">
        <f aca="false">IF(E41&gt;=5,"Alta concentración: revisar superposición","")</f>
        <v/>
      </c>
      <c r="M41" s="11" t="str">
        <f aca="false">HYPERLINK("https://catalogodatos.gub.uy/dataset?q="&amp;SUBSTITUTE('Taxonomía temas'!J38," ","+"),"Buscar datasets")</f>
        <v>Buscar datasets</v>
      </c>
    </row>
    <row r="42" customFormat="false" ht="15" hidden="false" customHeight="false" outlineLevel="0" collapsed="false">
      <c r="A42" s="10" t="str">
        <f aca="false">'Taxonomía temas'!A39</f>
        <v>T38</v>
      </c>
      <c r="B42" s="10" t="str">
        <f aca="false">'Taxonomía temas'!D39</f>
        <v>Ambiente, energía y clima</v>
      </c>
      <c r="C42" s="10" t="str">
        <f aca="false">'Taxonomía temas'!E39</f>
        <v>Riesgos y emergencias</v>
      </c>
      <c r="D42" s="10" t="n">
        <f aca="false">'Taxonomía temas'!F39</f>
        <v>11</v>
      </c>
      <c r="E42" s="10" t="n">
        <f aca="false">COUNTIFS(Inventario!$K$2:$K$1000,A42,Inventario!$D$2:$D$1000,"&lt;&gt;Internacional")</f>
        <v>1</v>
      </c>
      <c r="F42" s="10" t="n">
        <f aca="false">COUNTIFS(Inventario!$M$2:$M$1000,"*"&amp;A42&amp;"*",Inventario!$D$2:$D$1000,"&lt;&gt;Internacional")</f>
        <v>4</v>
      </c>
      <c r="G42" s="10" t="n">
        <f aca="false">COUNTIFS(Inventario!$M$2:$M$1000,"*"&amp;A42&amp;"*",Inventario!$D$2:$D$1000,"&lt;&gt;Internacional",Inventario!$Q$2:$Q$1000,"4*")</f>
        <v>1</v>
      </c>
      <c r="H42" s="10" t="n">
        <f aca="false">COUNTIFS(Inventario!$M$2:$M$1000,"*"&amp;A42&amp;"*",Inventario!$D$2:$D$1000,"&lt;&gt;Internacional",Inventario!$Q$2:$Q$1000,"3*")</f>
        <v>3</v>
      </c>
      <c r="I42" s="10" t="n">
        <f aca="false">COUNTIFS(Inventario!$M$2:$M$1000,"*"&amp;A42&amp;"*",Inventario!$D$2:$D$1000,"&lt;&gt;Internacional",Inventario!$W$2:$W$1000,"Sí")</f>
        <v>0</v>
      </c>
      <c r="J42" s="10" t="n">
        <f aca="false">COUNTIFS(Inventario!$M$2:$M$1000,"*"&amp;A42&amp;"*",Inventario!$D$2:$D$1000,"Internacional")</f>
        <v>0</v>
      </c>
      <c r="K42" s="10" t="str">
        <f aca="false">IF(F42=0,IF(J42&gt;0,"Sin cobertura nacional (solo internacional)","Sin cobertura"),IF(E42=0,"Cobertura indirecta",IF(G42=0,"Cobertura sin análisis","Cobertura con análisis")))</f>
        <v>Cobertura con análisis</v>
      </c>
      <c r="L42" s="10" t="str">
        <f aca="false">IF(E42&gt;=5,"Alta concentración: revisar superposición","")</f>
        <v/>
      </c>
      <c r="M42" s="11" t="str">
        <f aca="false">HYPERLINK("https://catalogodatos.gub.uy/dataset?q="&amp;SUBSTITUTE('Taxonomía temas'!J39," ","+"),"Buscar datasets")</f>
        <v>Buscar datasets</v>
      </c>
    </row>
    <row r="43" customFormat="false" ht="15" hidden="false" customHeight="false" outlineLevel="0" collapsed="false">
      <c r="A43" s="10" t="str">
        <f aca="false">'Taxonomía temas'!A40</f>
        <v>T39</v>
      </c>
      <c r="B43" s="10" t="str">
        <f aca="false">'Taxonomía temas'!D40</f>
        <v>Territorio, vivienda y movilidad</v>
      </c>
      <c r="C43" s="10" t="str">
        <f aca="false">'Taxonomía temas'!E40</f>
        <v>Territorio, ordenamiento y desarrollo local</v>
      </c>
      <c r="D43" s="10" t="n">
        <f aca="false">'Taxonomía temas'!F40</f>
        <v>11</v>
      </c>
      <c r="E43" s="10" t="n">
        <f aca="false">COUNTIFS(Inventario!$K$2:$K$1000,A43,Inventario!$D$2:$D$1000,"&lt;&gt;Internacional")</f>
        <v>7</v>
      </c>
      <c r="F43" s="10" t="n">
        <f aca="false">COUNTIFS(Inventario!$M$2:$M$1000,"*"&amp;A43&amp;"*",Inventario!$D$2:$D$1000,"&lt;&gt;Internacional")</f>
        <v>13</v>
      </c>
      <c r="G43" s="10" t="n">
        <f aca="false">COUNTIFS(Inventario!$M$2:$M$1000,"*"&amp;A43&amp;"*",Inventario!$D$2:$D$1000,"&lt;&gt;Internacional",Inventario!$Q$2:$Q$1000,"4*")</f>
        <v>2</v>
      </c>
      <c r="H43" s="10" t="n">
        <f aca="false">COUNTIFS(Inventario!$M$2:$M$1000,"*"&amp;A43&amp;"*",Inventario!$D$2:$D$1000,"&lt;&gt;Internacional",Inventario!$Q$2:$Q$1000,"3*")</f>
        <v>10</v>
      </c>
      <c r="I43" s="10" t="n">
        <f aca="false">COUNTIFS(Inventario!$M$2:$M$1000,"*"&amp;A43&amp;"*",Inventario!$D$2:$D$1000,"&lt;&gt;Internacional",Inventario!$W$2:$W$1000,"Sí")</f>
        <v>1</v>
      </c>
      <c r="J43" s="10" t="n">
        <f aca="false">COUNTIFS(Inventario!$M$2:$M$1000,"*"&amp;A43&amp;"*",Inventario!$D$2:$D$1000,"Internacional")</f>
        <v>0</v>
      </c>
      <c r="K43" s="10" t="str">
        <f aca="false">IF(F43=0,IF(J43&gt;0,"Sin cobertura nacional (solo internacional)","Sin cobertura"),IF(E43=0,"Cobertura indirecta",IF(G43=0,"Cobertura sin análisis","Cobertura con análisis")))</f>
        <v>Cobertura con análisis</v>
      </c>
      <c r="L43" s="10" t="str">
        <f aca="false">IF(E43&gt;=5,"Alta concentración: revisar superposición","")</f>
        <v>Alta concentración: revisar superposición</v>
      </c>
      <c r="M43" s="11" t="str">
        <f aca="false">HYPERLINK("https://catalogodatos.gub.uy/dataset?q="&amp;SUBSTITUTE('Taxonomía temas'!J40," ","+"),"Buscar datasets")</f>
        <v>Buscar datasets</v>
      </c>
    </row>
    <row r="44" customFormat="false" ht="15" hidden="false" customHeight="false" outlineLevel="0" collapsed="false">
      <c r="A44" s="10" t="str">
        <f aca="false">'Taxonomía temas'!A41</f>
        <v>T40</v>
      </c>
      <c r="B44" s="10" t="str">
        <f aca="false">'Taxonomía temas'!D41</f>
        <v>Territorio, vivienda y movilidad</v>
      </c>
      <c r="C44" s="10" t="str">
        <f aca="false">'Taxonomía temas'!E41</f>
        <v>Vivienda, hábitat y asentamientos</v>
      </c>
      <c r="D44" s="10" t="n">
        <f aca="false">'Taxonomía temas'!F41</f>
        <v>11</v>
      </c>
      <c r="E44" s="10" t="n">
        <f aca="false">COUNTIFS(Inventario!$K$2:$K$1000,A44,Inventario!$D$2:$D$1000,"&lt;&gt;Internacional")</f>
        <v>1</v>
      </c>
      <c r="F44" s="10" t="n">
        <f aca="false">COUNTIFS(Inventario!$M$2:$M$1000,"*"&amp;A44&amp;"*",Inventario!$D$2:$D$1000,"&lt;&gt;Internacional")</f>
        <v>5</v>
      </c>
      <c r="G44" s="10" t="n">
        <f aca="false">COUNTIFS(Inventario!$M$2:$M$1000,"*"&amp;A44&amp;"*",Inventario!$D$2:$D$1000,"&lt;&gt;Internacional",Inventario!$Q$2:$Q$1000,"4*")</f>
        <v>2</v>
      </c>
      <c r="H44" s="10" t="n">
        <f aca="false">COUNTIFS(Inventario!$M$2:$M$1000,"*"&amp;A44&amp;"*",Inventario!$D$2:$D$1000,"&lt;&gt;Internacional",Inventario!$Q$2:$Q$1000,"3*")</f>
        <v>2</v>
      </c>
      <c r="I44" s="10" t="n">
        <f aca="false">COUNTIFS(Inventario!$M$2:$M$1000,"*"&amp;A44&amp;"*",Inventario!$D$2:$D$1000,"&lt;&gt;Internacional",Inventario!$W$2:$W$1000,"Sí")</f>
        <v>2</v>
      </c>
      <c r="J44" s="10" t="n">
        <f aca="false">COUNTIFS(Inventario!$M$2:$M$1000,"*"&amp;A44&amp;"*",Inventario!$D$2:$D$1000,"Internacional")</f>
        <v>0</v>
      </c>
      <c r="K44" s="10" t="str">
        <f aca="false">IF(F44=0,IF(J44&gt;0,"Sin cobertura nacional (solo internacional)","Sin cobertura"),IF(E44=0,"Cobertura indirecta",IF(G44=0,"Cobertura sin análisis","Cobertura con análisis")))</f>
        <v>Cobertura con análisis</v>
      </c>
      <c r="L44" s="10" t="str">
        <f aca="false">IF(E44&gt;=5,"Alta concentración: revisar superposición","")</f>
        <v/>
      </c>
      <c r="M44" s="11" t="str">
        <f aca="false">HYPERLINK("https://catalogodatos.gub.uy/dataset?q="&amp;SUBSTITUTE('Taxonomía temas'!J41," ","+"),"Buscar datasets")</f>
        <v>Buscar datasets</v>
      </c>
    </row>
    <row r="45" customFormat="false" ht="15" hidden="false" customHeight="false" outlineLevel="0" collapsed="false">
      <c r="A45" s="10" t="str">
        <f aca="false">'Taxonomía temas'!A42</f>
        <v>T41</v>
      </c>
      <c r="B45" s="10" t="str">
        <f aca="false">'Taxonomía temas'!D42</f>
        <v>Territorio, vivienda y movilidad</v>
      </c>
      <c r="C45" s="10" t="str">
        <f aca="false">'Taxonomía temas'!E42</f>
        <v>Información geográfica, cartografía y catastro</v>
      </c>
      <c r="D45" s="10" t="n">
        <f aca="false">'Taxonomía temas'!F42</f>
        <v>17</v>
      </c>
      <c r="E45" s="10" t="n">
        <f aca="false">COUNTIFS(Inventario!$K$2:$K$1000,A45,Inventario!$D$2:$D$1000,"&lt;&gt;Internacional")</f>
        <v>7</v>
      </c>
      <c r="F45" s="10" t="n">
        <f aca="false">COUNTIFS(Inventario!$M$2:$M$1000,"*"&amp;A45&amp;"*",Inventario!$D$2:$D$1000,"&lt;&gt;Internacional")</f>
        <v>21</v>
      </c>
      <c r="G45" s="10" t="n">
        <f aca="false">COUNTIFS(Inventario!$M$2:$M$1000,"*"&amp;A45&amp;"*",Inventario!$D$2:$D$1000,"&lt;&gt;Internacional",Inventario!$Q$2:$Q$1000,"4*")</f>
        <v>0</v>
      </c>
      <c r="H45" s="10" t="n">
        <f aca="false">COUNTIFS(Inventario!$M$2:$M$1000,"*"&amp;A45&amp;"*",Inventario!$D$2:$D$1000,"&lt;&gt;Internacional",Inventario!$Q$2:$Q$1000,"3*")</f>
        <v>21</v>
      </c>
      <c r="I45" s="10" t="n">
        <f aca="false">COUNTIFS(Inventario!$M$2:$M$1000,"*"&amp;A45&amp;"*",Inventario!$D$2:$D$1000,"&lt;&gt;Internacional",Inventario!$W$2:$W$1000,"Sí")</f>
        <v>2</v>
      </c>
      <c r="J45" s="10" t="n">
        <f aca="false">COUNTIFS(Inventario!$M$2:$M$1000,"*"&amp;A45&amp;"*",Inventario!$D$2:$D$1000,"Internacional")</f>
        <v>0</v>
      </c>
      <c r="K45" s="10" t="str">
        <f aca="false">IF(F45=0,IF(J45&gt;0,"Sin cobertura nacional (solo internacional)","Sin cobertura"),IF(E45=0,"Cobertura indirecta",IF(G45=0,"Cobertura sin análisis","Cobertura con análisis")))</f>
        <v>Cobertura sin análisis</v>
      </c>
      <c r="L45" s="10" t="str">
        <f aca="false">IF(E45&gt;=5,"Alta concentración: revisar superposición","")</f>
        <v>Alta concentración: revisar superposición</v>
      </c>
      <c r="M45" s="11" t="str">
        <f aca="false">HYPERLINK("https://catalogodatos.gub.uy/dataset?q="&amp;SUBSTITUTE('Taxonomía temas'!J42," ","+"),"Buscar datasets")</f>
        <v>Buscar datasets</v>
      </c>
    </row>
    <row r="46" customFormat="false" ht="15" hidden="false" customHeight="false" outlineLevel="0" collapsed="false">
      <c r="A46" s="10" t="str">
        <f aca="false">'Taxonomía temas'!A43</f>
        <v>T42</v>
      </c>
      <c r="B46" s="10" t="str">
        <f aca="false">'Taxonomía temas'!D43</f>
        <v>Territorio, vivienda y movilidad</v>
      </c>
      <c r="C46" s="10" t="str">
        <f aca="false">'Taxonomía temas'!E43</f>
        <v>Movilidad urbana y seguridad vial</v>
      </c>
      <c r="D46" s="10" t="n">
        <f aca="false">'Taxonomía temas'!F43</f>
        <v>11</v>
      </c>
      <c r="E46" s="10" t="n">
        <f aca="false">COUNTIFS(Inventario!$K$2:$K$1000,A46,Inventario!$D$2:$D$1000,"&lt;&gt;Internacional")</f>
        <v>2</v>
      </c>
      <c r="F46" s="10" t="n">
        <f aca="false">COUNTIFS(Inventario!$M$2:$M$1000,"*"&amp;A46&amp;"*",Inventario!$D$2:$D$1000,"&lt;&gt;Internacional")</f>
        <v>2</v>
      </c>
      <c r="G46" s="10" t="n">
        <f aca="false">COUNTIFS(Inventario!$M$2:$M$1000,"*"&amp;A46&amp;"*",Inventario!$D$2:$D$1000,"&lt;&gt;Internacional",Inventario!$Q$2:$Q$1000,"4*")</f>
        <v>0</v>
      </c>
      <c r="H46" s="10" t="n">
        <f aca="false">COUNTIFS(Inventario!$M$2:$M$1000,"*"&amp;A46&amp;"*",Inventario!$D$2:$D$1000,"&lt;&gt;Internacional",Inventario!$Q$2:$Q$1000,"3*")</f>
        <v>2</v>
      </c>
      <c r="I46" s="10" t="n">
        <f aca="false">COUNTIFS(Inventario!$M$2:$M$1000,"*"&amp;A46&amp;"*",Inventario!$D$2:$D$1000,"&lt;&gt;Internacional",Inventario!$W$2:$W$1000,"Sí")</f>
        <v>1</v>
      </c>
      <c r="J46" s="10" t="n">
        <f aca="false">COUNTIFS(Inventario!$M$2:$M$1000,"*"&amp;A46&amp;"*",Inventario!$D$2:$D$1000,"Internacional")</f>
        <v>0</v>
      </c>
      <c r="K46" s="10" t="str">
        <f aca="false">IF(F46=0,IF(J46&gt;0,"Sin cobertura nacional (solo internacional)","Sin cobertura"),IF(E46=0,"Cobertura indirecta",IF(G46=0,"Cobertura sin análisis","Cobertura con análisis")))</f>
        <v>Cobertura sin análisis</v>
      </c>
      <c r="L46" s="10" t="str">
        <f aca="false">IF(E46&gt;=5,"Alta concentración: revisar superposición","")</f>
        <v/>
      </c>
      <c r="M46" s="11" t="str">
        <f aca="false">HYPERLINK("https://catalogodatos.gub.uy/dataset?q="&amp;SUBSTITUTE('Taxonomía temas'!J43," ","+"),"Buscar datasets")</f>
        <v>Buscar datasets</v>
      </c>
    </row>
    <row r="47" customFormat="false" ht="15" hidden="false" customHeight="false" outlineLevel="0" collapsed="false">
      <c r="A47" s="10" t="str">
        <f aca="false">'Taxonomía temas'!A44</f>
        <v>T43</v>
      </c>
      <c r="B47" s="10" t="str">
        <f aca="false">'Taxonomía temas'!D44</f>
        <v>Estado, gobierno y derechos</v>
      </c>
      <c r="C47" s="10" t="str">
        <f aca="false">'Taxonomía temas'!E44</f>
        <v>Gestión pública, transparencia y compras</v>
      </c>
      <c r="D47" s="10" t="n">
        <f aca="false">'Taxonomía temas'!F44</f>
        <v>16</v>
      </c>
      <c r="E47" s="10" t="n">
        <f aca="false">COUNTIFS(Inventario!$K$2:$K$1000,A47,Inventario!$D$2:$D$1000,"&lt;&gt;Internacional")</f>
        <v>5</v>
      </c>
      <c r="F47" s="10" t="n">
        <f aca="false">COUNTIFS(Inventario!$M$2:$M$1000,"*"&amp;A47&amp;"*",Inventario!$D$2:$D$1000,"&lt;&gt;Internacional")</f>
        <v>7</v>
      </c>
      <c r="G47" s="10" t="n">
        <f aca="false">COUNTIFS(Inventario!$M$2:$M$1000,"*"&amp;A47&amp;"*",Inventario!$D$2:$D$1000,"&lt;&gt;Internacional",Inventario!$Q$2:$Q$1000,"4*")</f>
        <v>2</v>
      </c>
      <c r="H47" s="10" t="n">
        <f aca="false">COUNTIFS(Inventario!$M$2:$M$1000,"*"&amp;A47&amp;"*",Inventario!$D$2:$D$1000,"&lt;&gt;Internacional",Inventario!$Q$2:$Q$1000,"3*")</f>
        <v>3</v>
      </c>
      <c r="I47" s="10" t="n">
        <f aca="false">COUNTIFS(Inventario!$M$2:$M$1000,"*"&amp;A47&amp;"*",Inventario!$D$2:$D$1000,"&lt;&gt;Internacional",Inventario!$W$2:$W$1000,"Sí")</f>
        <v>0</v>
      </c>
      <c r="J47" s="10" t="n">
        <f aca="false">COUNTIFS(Inventario!$M$2:$M$1000,"*"&amp;A47&amp;"*",Inventario!$D$2:$D$1000,"Internacional")</f>
        <v>2</v>
      </c>
      <c r="K47" s="10" t="str">
        <f aca="false">IF(F47=0,IF(J47&gt;0,"Sin cobertura nacional (solo internacional)","Sin cobertura"),IF(E47=0,"Cobertura indirecta",IF(G47=0,"Cobertura sin análisis","Cobertura con análisis")))</f>
        <v>Cobertura con análisis</v>
      </c>
      <c r="L47" s="10" t="str">
        <f aca="false">IF(E47&gt;=5,"Alta concentración: revisar superposición","")</f>
        <v>Alta concentración: revisar superposición</v>
      </c>
      <c r="M47" s="11" t="str">
        <f aca="false">HYPERLINK("https://catalogodatos.gub.uy/dataset?q="&amp;SUBSTITUTE('Taxonomía temas'!J44," ","+"),"Buscar datasets")</f>
        <v>Buscar datasets</v>
      </c>
    </row>
    <row r="48" customFormat="false" ht="15" hidden="false" customHeight="false" outlineLevel="0" collapsed="false">
      <c r="A48" s="10" t="str">
        <f aca="false">'Taxonomía temas'!A45</f>
        <v>T44</v>
      </c>
      <c r="B48" s="10" t="str">
        <f aca="false">'Taxonomía temas'!D45</f>
        <v>Estado, gobierno y derechos</v>
      </c>
      <c r="C48" s="10" t="str">
        <f aca="false">'Taxonomía temas'!E45</f>
        <v>Gobierno abierto y datos abiertos</v>
      </c>
      <c r="D48" s="10" t="n">
        <f aca="false">'Taxonomía temas'!F45</f>
        <v>16</v>
      </c>
      <c r="E48" s="10" t="n">
        <f aca="false">COUNTIFS(Inventario!$K$2:$K$1000,A48,Inventario!$D$2:$D$1000,"&lt;&gt;Internacional")</f>
        <v>5</v>
      </c>
      <c r="F48" s="10" t="n">
        <f aca="false">COUNTIFS(Inventario!$M$2:$M$1000,"*"&amp;A48&amp;"*",Inventario!$D$2:$D$1000,"&lt;&gt;Internacional")</f>
        <v>11</v>
      </c>
      <c r="G48" s="10" t="n">
        <f aca="false">COUNTIFS(Inventario!$M$2:$M$1000,"*"&amp;A48&amp;"*",Inventario!$D$2:$D$1000,"&lt;&gt;Internacional",Inventario!$Q$2:$Q$1000,"4*")</f>
        <v>1</v>
      </c>
      <c r="H48" s="10" t="n">
        <f aca="false">COUNTIFS(Inventario!$M$2:$M$1000,"*"&amp;A48&amp;"*",Inventario!$D$2:$D$1000,"&lt;&gt;Internacional",Inventario!$Q$2:$Q$1000,"3*")</f>
        <v>2</v>
      </c>
      <c r="I48" s="10" t="n">
        <f aca="false">COUNTIFS(Inventario!$M$2:$M$1000,"*"&amp;A48&amp;"*",Inventario!$D$2:$D$1000,"&lt;&gt;Internacional",Inventario!$W$2:$W$1000,"Sí")</f>
        <v>2</v>
      </c>
      <c r="J48" s="10" t="n">
        <f aca="false">COUNTIFS(Inventario!$M$2:$M$1000,"*"&amp;A48&amp;"*",Inventario!$D$2:$D$1000,"Internacional")</f>
        <v>0</v>
      </c>
      <c r="K48" s="10" t="str">
        <f aca="false">IF(F48=0,IF(J48&gt;0,"Sin cobertura nacional (solo internacional)","Sin cobertura"),IF(E48=0,"Cobertura indirecta",IF(G48=0,"Cobertura sin análisis","Cobertura con análisis")))</f>
        <v>Cobertura con análisis</v>
      </c>
      <c r="L48" s="10" t="str">
        <f aca="false">IF(E48&gt;=5,"Alta concentración: revisar superposición","")</f>
        <v>Alta concentración: revisar superposición</v>
      </c>
      <c r="M48" s="11" t="str">
        <f aca="false">HYPERLINK("https://catalogodatos.gub.uy/dataset?q="&amp;SUBSTITUTE('Taxonomía temas'!J45," ","+"),"Buscar datasets")</f>
        <v>Buscar datasets</v>
      </c>
    </row>
    <row r="49" customFormat="false" ht="15" hidden="false" customHeight="false" outlineLevel="0" collapsed="false">
      <c r="A49" s="10" t="str">
        <f aca="false">'Taxonomía temas'!A46</f>
        <v>T45</v>
      </c>
      <c r="B49" s="10" t="str">
        <f aca="false">'Taxonomía temas'!D46</f>
        <v>Estado, gobierno y derechos</v>
      </c>
      <c r="C49" s="10" t="str">
        <f aca="false">'Taxonomía temas'!E46</f>
        <v>Elecciones y democracia</v>
      </c>
      <c r="D49" s="10" t="n">
        <f aca="false">'Taxonomía temas'!F46</f>
        <v>16</v>
      </c>
      <c r="E49" s="10" t="n">
        <f aca="false">COUNTIFS(Inventario!$K$2:$K$1000,A49,Inventario!$D$2:$D$1000,"&lt;&gt;Internacional")</f>
        <v>1</v>
      </c>
      <c r="F49" s="10" t="n">
        <f aca="false">COUNTIFS(Inventario!$M$2:$M$1000,"*"&amp;A49&amp;"*",Inventario!$D$2:$D$1000,"&lt;&gt;Internacional")</f>
        <v>1</v>
      </c>
      <c r="G49" s="10" t="n">
        <f aca="false">COUNTIFS(Inventario!$M$2:$M$1000,"*"&amp;A49&amp;"*",Inventario!$D$2:$D$1000,"&lt;&gt;Internacional",Inventario!$Q$2:$Q$1000,"4*")</f>
        <v>0</v>
      </c>
      <c r="H49" s="10" t="n">
        <f aca="false">COUNTIFS(Inventario!$M$2:$M$1000,"*"&amp;A49&amp;"*",Inventario!$D$2:$D$1000,"&lt;&gt;Internacional",Inventario!$Q$2:$Q$1000,"3*")</f>
        <v>0</v>
      </c>
      <c r="I49" s="10" t="n">
        <f aca="false">COUNTIFS(Inventario!$M$2:$M$1000,"*"&amp;A49&amp;"*",Inventario!$D$2:$D$1000,"&lt;&gt;Internacional",Inventario!$W$2:$W$1000,"Sí")</f>
        <v>1</v>
      </c>
      <c r="J49" s="10" t="n">
        <f aca="false">COUNTIFS(Inventario!$M$2:$M$1000,"*"&amp;A49&amp;"*",Inventario!$D$2:$D$1000,"Internacional")</f>
        <v>0</v>
      </c>
      <c r="K49" s="10" t="str">
        <f aca="false">IF(F49=0,IF(J49&gt;0,"Sin cobertura nacional (solo internacional)","Sin cobertura"),IF(E49=0,"Cobertura indirecta",IF(G49=0,"Cobertura sin análisis","Cobertura con análisis")))</f>
        <v>Cobertura sin análisis</v>
      </c>
      <c r="L49" s="10" t="str">
        <f aca="false">IF(E49&gt;=5,"Alta concentración: revisar superposición","")</f>
        <v/>
      </c>
      <c r="M49" s="11" t="str">
        <f aca="false">HYPERLINK("https://catalogodatos.gub.uy/dataset?q="&amp;SUBSTITUTE('Taxonomía temas'!J46," ","+"),"Buscar datasets")</f>
        <v>Buscar datasets</v>
      </c>
    </row>
    <row r="50" customFormat="false" ht="15" hidden="false" customHeight="false" outlineLevel="0" collapsed="false">
      <c r="A50" s="10" t="str">
        <f aca="false">'Taxonomía temas'!A47</f>
        <v>T46</v>
      </c>
      <c r="B50" s="10" t="str">
        <f aca="false">'Taxonomía temas'!D47</f>
        <v>Estado, gobierno y derechos</v>
      </c>
      <c r="C50" s="10" t="str">
        <f aca="false">'Taxonomía temas'!E47</f>
        <v>Seguridad y delito</v>
      </c>
      <c r="D50" s="10" t="n">
        <f aca="false">'Taxonomía temas'!F47</f>
        <v>16</v>
      </c>
      <c r="E50" s="10" t="n">
        <f aca="false">COUNTIFS(Inventario!$K$2:$K$1000,A50,Inventario!$D$2:$D$1000,"&lt;&gt;Internacional")</f>
        <v>2</v>
      </c>
      <c r="F50" s="10" t="n">
        <f aca="false">COUNTIFS(Inventario!$M$2:$M$1000,"*"&amp;A50&amp;"*",Inventario!$D$2:$D$1000,"&lt;&gt;Internacional")</f>
        <v>4</v>
      </c>
      <c r="G50" s="10" t="n">
        <f aca="false">COUNTIFS(Inventario!$M$2:$M$1000,"*"&amp;A50&amp;"*",Inventario!$D$2:$D$1000,"&lt;&gt;Internacional",Inventario!$Q$2:$Q$1000,"4*")</f>
        <v>2</v>
      </c>
      <c r="H50" s="10" t="n">
        <f aca="false">COUNTIFS(Inventario!$M$2:$M$1000,"*"&amp;A50&amp;"*",Inventario!$D$2:$D$1000,"&lt;&gt;Internacional",Inventario!$Q$2:$Q$1000,"3*")</f>
        <v>2</v>
      </c>
      <c r="I50" s="10" t="n">
        <f aca="false">COUNTIFS(Inventario!$M$2:$M$1000,"*"&amp;A50&amp;"*",Inventario!$D$2:$D$1000,"&lt;&gt;Internacional",Inventario!$W$2:$W$1000,"Sí")</f>
        <v>1</v>
      </c>
      <c r="J50" s="10" t="n">
        <f aca="false">COUNTIFS(Inventario!$M$2:$M$1000,"*"&amp;A50&amp;"*",Inventario!$D$2:$D$1000,"Internacional")</f>
        <v>1</v>
      </c>
      <c r="K50" s="10" t="str">
        <f aca="false">IF(F50=0,IF(J50&gt;0,"Sin cobertura nacional (solo internacional)","Sin cobertura"),IF(E50=0,"Cobertura indirecta",IF(G50=0,"Cobertura sin análisis","Cobertura con análisis")))</f>
        <v>Cobertura con análisis</v>
      </c>
      <c r="L50" s="10" t="str">
        <f aca="false">IF(E50&gt;=5,"Alta concentración: revisar superposición","")</f>
        <v/>
      </c>
      <c r="M50" s="11" t="str">
        <f aca="false">HYPERLINK("https://catalogodatos.gub.uy/dataset?q="&amp;SUBSTITUTE('Taxonomía temas'!J47," ","+"),"Buscar datasets")</f>
        <v>Buscar datasets</v>
      </c>
    </row>
    <row r="51" customFormat="false" ht="15" hidden="false" customHeight="false" outlineLevel="0" collapsed="false">
      <c r="A51" s="10" t="str">
        <f aca="false">'Taxonomía temas'!A48</f>
        <v>T47</v>
      </c>
      <c r="B51" s="10" t="str">
        <f aca="false">'Taxonomía temas'!D48</f>
        <v>Estado, gobierno y derechos</v>
      </c>
      <c r="C51" s="10" t="str">
        <f aca="false">'Taxonomía temas'!E48</f>
        <v>Justicia y sistema penitenciario</v>
      </c>
      <c r="D51" s="10" t="n">
        <f aca="false">'Taxonomía temas'!F48</f>
        <v>16</v>
      </c>
      <c r="E51" s="10" t="n">
        <f aca="false">COUNTIFS(Inventario!$K$2:$K$1000,A51,Inventario!$D$2:$D$1000,"&lt;&gt;Internacional")</f>
        <v>3</v>
      </c>
      <c r="F51" s="10" t="n">
        <f aca="false">COUNTIFS(Inventario!$M$2:$M$1000,"*"&amp;A51&amp;"*",Inventario!$D$2:$D$1000,"&lt;&gt;Internacional")</f>
        <v>5</v>
      </c>
      <c r="G51" s="10" t="n">
        <f aca="false">COUNTIFS(Inventario!$M$2:$M$1000,"*"&amp;A51&amp;"*",Inventario!$D$2:$D$1000,"&lt;&gt;Internacional",Inventario!$Q$2:$Q$1000,"4*")</f>
        <v>2</v>
      </c>
      <c r="H51" s="10" t="n">
        <f aca="false">COUNTIFS(Inventario!$M$2:$M$1000,"*"&amp;A51&amp;"*",Inventario!$D$2:$D$1000,"&lt;&gt;Internacional",Inventario!$Q$2:$Q$1000,"3*")</f>
        <v>2</v>
      </c>
      <c r="I51" s="10" t="n">
        <f aca="false">COUNTIFS(Inventario!$M$2:$M$1000,"*"&amp;A51&amp;"*",Inventario!$D$2:$D$1000,"&lt;&gt;Internacional",Inventario!$W$2:$W$1000,"Sí")</f>
        <v>1</v>
      </c>
      <c r="J51" s="10" t="n">
        <f aca="false">COUNTIFS(Inventario!$M$2:$M$1000,"*"&amp;A51&amp;"*",Inventario!$D$2:$D$1000,"Internacional")</f>
        <v>0</v>
      </c>
      <c r="K51" s="10" t="str">
        <f aca="false">IF(F51=0,IF(J51&gt;0,"Sin cobertura nacional (solo internacional)","Sin cobertura"),IF(E51=0,"Cobertura indirecta",IF(G51=0,"Cobertura sin análisis","Cobertura con análisis")))</f>
        <v>Cobertura con análisis</v>
      </c>
      <c r="L51" s="10" t="str">
        <f aca="false">IF(E51&gt;=5,"Alta concentración: revisar superposición","")</f>
        <v/>
      </c>
      <c r="M51" s="11" t="str">
        <f aca="false">HYPERLINK("https://catalogodatos.gub.uy/dataset?q="&amp;SUBSTITUTE('Taxonomía temas'!J48," ","+"),"Buscar datasets")</f>
        <v>Buscar datasets</v>
      </c>
    </row>
    <row r="52" customFormat="false" ht="15" hidden="false" customHeight="false" outlineLevel="0" collapsed="false">
      <c r="A52" s="10" t="str">
        <f aca="false">'Taxonomía temas'!A49</f>
        <v>T48</v>
      </c>
      <c r="B52" s="10" t="str">
        <f aca="false">'Taxonomía temas'!D49</f>
        <v>Estado, gobierno y derechos</v>
      </c>
      <c r="C52" s="10" t="str">
        <f aca="false">'Taxonomía temas'!E49</f>
        <v>Derechos humanos</v>
      </c>
      <c r="D52" s="10" t="n">
        <f aca="false">'Taxonomía temas'!F49</f>
        <v>16</v>
      </c>
      <c r="E52" s="10" t="n">
        <f aca="false">COUNTIFS(Inventario!$K$2:$K$1000,A52,Inventario!$D$2:$D$1000,"&lt;&gt;Internacional")</f>
        <v>3</v>
      </c>
      <c r="F52" s="10" t="n">
        <f aca="false">COUNTIFS(Inventario!$M$2:$M$1000,"*"&amp;A52&amp;"*",Inventario!$D$2:$D$1000,"&lt;&gt;Internacional")</f>
        <v>4</v>
      </c>
      <c r="G52" s="10" t="n">
        <f aca="false">COUNTIFS(Inventario!$M$2:$M$1000,"*"&amp;A52&amp;"*",Inventario!$D$2:$D$1000,"&lt;&gt;Internacional",Inventario!$Q$2:$Q$1000,"4*")</f>
        <v>3</v>
      </c>
      <c r="H52" s="10" t="n">
        <f aca="false">COUNTIFS(Inventario!$M$2:$M$1000,"*"&amp;A52&amp;"*",Inventario!$D$2:$D$1000,"&lt;&gt;Internacional",Inventario!$Q$2:$Q$1000,"3*")</f>
        <v>1</v>
      </c>
      <c r="I52" s="10" t="n">
        <f aca="false">COUNTIFS(Inventario!$M$2:$M$1000,"*"&amp;A52&amp;"*",Inventario!$D$2:$D$1000,"&lt;&gt;Internacional",Inventario!$W$2:$W$1000,"Sí")</f>
        <v>0</v>
      </c>
      <c r="J52" s="10" t="n">
        <f aca="false">COUNTIFS(Inventario!$M$2:$M$1000,"*"&amp;A52&amp;"*",Inventario!$D$2:$D$1000,"Internacional")</f>
        <v>0</v>
      </c>
      <c r="K52" s="10" t="str">
        <f aca="false">IF(F52=0,IF(J52&gt;0,"Sin cobertura nacional (solo internacional)","Sin cobertura"),IF(E52=0,"Cobertura indirecta",IF(G52=0,"Cobertura sin análisis","Cobertura con análisis")))</f>
        <v>Cobertura con análisis</v>
      </c>
      <c r="L52" s="10" t="str">
        <f aca="false">IF(E52&gt;=5,"Alta concentración: revisar superposición","")</f>
        <v/>
      </c>
      <c r="M52" s="11" t="str">
        <f aca="false">HYPERLINK("https://catalogodatos.gub.uy/dataset?q="&amp;SUBSTITUTE('Taxonomía temas'!J49," ","+"),"Buscar datasets")</f>
        <v>Buscar datasets</v>
      </c>
    </row>
    <row r="53" customFormat="false" ht="15" hidden="false" customHeight="false" outlineLevel="0" collapsed="false">
      <c r="A53" s="10" t="str">
        <f aca="false">'Taxonomía temas'!A50</f>
        <v>T49</v>
      </c>
      <c r="B53" s="10" t="str">
        <f aca="false">'Taxonomía temas'!D50</f>
        <v>Estado, gobierno y derechos</v>
      </c>
      <c r="C53" s="10" t="str">
        <f aca="false">'Taxonomía temas'!E50</f>
        <v>Estadística oficial y seguimiento ODS</v>
      </c>
      <c r="D53" s="10" t="n">
        <f aca="false">'Taxonomía temas'!F50</f>
        <v>17</v>
      </c>
      <c r="E53" s="10" t="n">
        <f aca="false">COUNTIFS(Inventario!$K$2:$K$1000,A53,Inventario!$D$2:$D$1000,"&lt;&gt;Internacional")</f>
        <v>4</v>
      </c>
      <c r="F53" s="10" t="n">
        <f aca="false">COUNTIFS(Inventario!$M$2:$M$1000,"*"&amp;A53&amp;"*",Inventario!$D$2:$D$1000,"&lt;&gt;Internacional")</f>
        <v>5</v>
      </c>
      <c r="G53" s="10" t="n">
        <f aca="false">COUNTIFS(Inventario!$M$2:$M$1000,"*"&amp;A53&amp;"*",Inventario!$D$2:$D$1000,"&lt;&gt;Internacional",Inventario!$Q$2:$Q$1000,"4*")</f>
        <v>0</v>
      </c>
      <c r="H53" s="10" t="n">
        <f aca="false">COUNTIFS(Inventario!$M$2:$M$1000,"*"&amp;A53&amp;"*",Inventario!$D$2:$D$1000,"&lt;&gt;Internacional",Inventario!$Q$2:$Q$1000,"3*")</f>
        <v>2</v>
      </c>
      <c r="I53" s="10" t="n">
        <f aca="false">COUNTIFS(Inventario!$M$2:$M$1000,"*"&amp;A53&amp;"*",Inventario!$D$2:$D$1000,"&lt;&gt;Internacional",Inventario!$W$2:$W$1000,"Sí")</f>
        <v>1</v>
      </c>
      <c r="J53" s="10" t="n">
        <f aca="false">COUNTIFS(Inventario!$M$2:$M$1000,"*"&amp;A53&amp;"*",Inventario!$D$2:$D$1000,"Internacional")</f>
        <v>4</v>
      </c>
      <c r="K53" s="10" t="str">
        <f aca="false">IF(F53=0,IF(J53&gt;0,"Sin cobertura nacional (solo internacional)","Sin cobertura"),IF(E53=0,"Cobertura indirecta",IF(G53=0,"Cobertura sin análisis","Cobertura con análisis")))</f>
        <v>Cobertura sin análisis</v>
      </c>
      <c r="L53" s="10" t="str">
        <f aca="false">IF(E53&gt;=5,"Alta concentración: revisar superposición","")</f>
        <v/>
      </c>
      <c r="M53" s="11" t="str">
        <f aca="false">HYPERLINK("https://catalogodatos.gub.uy/dataset?q="&amp;SUBSTITUTE('Taxonomía temas'!J50," ","+"),"Buscar datasets")</f>
        <v>Buscar datasets</v>
      </c>
    </row>
    <row r="54" customFormat="false" ht="15" hidden="false" customHeight="false" outlineLevel="0" collapsed="false">
      <c r="A54" s="10" t="str">
        <f aca="false">'Taxonomía temas'!A51</f>
        <v>T50</v>
      </c>
      <c r="B54" s="10" t="str">
        <f aca="false">'Taxonomía temas'!D51</f>
        <v>Ambiente, energía y clima</v>
      </c>
      <c r="C54" s="10" t="str">
        <f aca="false">'Taxonomía temas'!E51</f>
        <v>Pesca y recursos marinos</v>
      </c>
      <c r="D54" s="10" t="n">
        <f aca="false">'Taxonomía temas'!F51</f>
        <v>14</v>
      </c>
      <c r="E54" s="10" t="n">
        <f aca="false">COUNTIFS(Inventario!$K$2:$K$1000,A54,Inventario!$D$2:$D$1000,"&lt;&gt;Internacional")</f>
        <v>0</v>
      </c>
      <c r="F54" s="10" t="n">
        <f aca="false">COUNTIFS(Inventario!$M$2:$M$1000,"*"&amp;A54&amp;"*",Inventario!$D$2:$D$1000,"&lt;&gt;Internacional")</f>
        <v>0</v>
      </c>
      <c r="G54" s="10" t="n">
        <f aca="false">COUNTIFS(Inventario!$M$2:$M$1000,"*"&amp;A54&amp;"*",Inventario!$D$2:$D$1000,"&lt;&gt;Internacional",Inventario!$Q$2:$Q$1000,"4*")</f>
        <v>0</v>
      </c>
      <c r="H54" s="10" t="n">
        <f aca="false">COUNTIFS(Inventario!$M$2:$M$1000,"*"&amp;A54&amp;"*",Inventario!$D$2:$D$1000,"&lt;&gt;Internacional",Inventario!$Q$2:$Q$1000,"3*")</f>
        <v>0</v>
      </c>
      <c r="I54" s="10" t="n">
        <f aca="false">COUNTIFS(Inventario!$M$2:$M$1000,"*"&amp;A54&amp;"*",Inventario!$D$2:$D$1000,"&lt;&gt;Internacional",Inventario!$W$2:$W$1000,"Sí")</f>
        <v>0</v>
      </c>
      <c r="J54" s="10" t="n">
        <f aca="false">COUNTIFS(Inventario!$M$2:$M$1000,"*"&amp;A54&amp;"*",Inventario!$D$2:$D$1000,"Internacional")</f>
        <v>0</v>
      </c>
      <c r="K54" s="10" t="str">
        <f aca="false">IF(F54=0,IF(J54&gt;0,"Sin cobertura nacional (solo internacional)","Sin cobertura"),IF(E54=0,"Cobertura indirecta",IF(G54=0,"Cobertura sin análisis","Cobertura con análisis")))</f>
        <v>Sin cobertura</v>
      </c>
      <c r="L54" s="10" t="str">
        <f aca="false">IF(E54&gt;=5,"Alta concentración: revisar superposición","")</f>
        <v/>
      </c>
      <c r="M54" s="11" t="str">
        <f aca="false">HYPERLINK("https://catalogodatos.gub.uy/dataset?q="&amp;SUBSTITUTE('Taxonomía temas'!J51," ","+"),"Buscar datasets")</f>
        <v>Buscar datasets</v>
      </c>
    </row>
    <row r="55" customFormat="false" ht="15" hidden="false" customHeight="false" outlineLevel="0" collapsed="false">
      <c r="A55" s="10" t="str">
        <f aca="false">'Taxonomía temas'!A52</f>
        <v>T51</v>
      </c>
      <c r="B55" s="10" t="str">
        <f aca="false">'Taxonomía temas'!D52</f>
        <v>Economía y producción</v>
      </c>
      <c r="C55" s="10" t="str">
        <f aca="false">'Taxonomía temas'!E52</f>
        <v>Inclusión financiera y crédito</v>
      </c>
      <c r="D55" s="10" t="n">
        <f aca="false">'Taxonomía temas'!F52</f>
        <v>8</v>
      </c>
      <c r="E55" s="10" t="n">
        <f aca="false">COUNTIFS(Inventario!$K$2:$K$1000,A55,Inventario!$D$2:$D$1000,"&lt;&gt;Internacional")</f>
        <v>0</v>
      </c>
      <c r="F55" s="10" t="n">
        <f aca="false">COUNTIFS(Inventario!$M$2:$M$1000,"*"&amp;A55&amp;"*",Inventario!$D$2:$D$1000,"&lt;&gt;Internacional")</f>
        <v>0</v>
      </c>
      <c r="G55" s="10" t="n">
        <f aca="false">COUNTIFS(Inventario!$M$2:$M$1000,"*"&amp;A55&amp;"*",Inventario!$D$2:$D$1000,"&lt;&gt;Internacional",Inventario!$Q$2:$Q$1000,"4*")</f>
        <v>0</v>
      </c>
      <c r="H55" s="10" t="n">
        <f aca="false">COUNTIFS(Inventario!$M$2:$M$1000,"*"&amp;A55&amp;"*",Inventario!$D$2:$D$1000,"&lt;&gt;Internacional",Inventario!$Q$2:$Q$1000,"3*")</f>
        <v>0</v>
      </c>
      <c r="I55" s="10" t="n">
        <f aca="false">COUNTIFS(Inventario!$M$2:$M$1000,"*"&amp;A55&amp;"*",Inventario!$D$2:$D$1000,"&lt;&gt;Internacional",Inventario!$W$2:$W$1000,"Sí")</f>
        <v>0</v>
      </c>
      <c r="J55" s="10" t="n">
        <f aca="false">COUNTIFS(Inventario!$M$2:$M$1000,"*"&amp;A55&amp;"*",Inventario!$D$2:$D$1000,"Internacional")</f>
        <v>0</v>
      </c>
      <c r="K55" s="10" t="str">
        <f aca="false">IF(F55=0,IF(J55&gt;0,"Sin cobertura nacional (solo internacional)","Sin cobertura"),IF(E55=0,"Cobertura indirecta",IF(G55=0,"Cobertura sin análisis","Cobertura con análisis")))</f>
        <v>Sin cobertura</v>
      </c>
      <c r="L55" s="10" t="str">
        <f aca="false">IF(E55&gt;=5,"Alta concentración: revisar superposición","")</f>
        <v/>
      </c>
      <c r="M55" s="11" t="str">
        <f aca="false">HYPERLINK("https://catalogodatos.gub.uy/dataset?q="&amp;SUBSTITUTE('Taxonomía temas'!J52," ","+"),"Buscar datasets")</f>
        <v>Buscar datasets</v>
      </c>
    </row>
    <row r="56" customFormat="false" ht="15" hidden="false" customHeight="false" outlineLevel="0" collapsed="false">
      <c r="A56" s="10" t="str">
        <f aca="false">'Taxonomía temas'!A53</f>
        <v>T52</v>
      </c>
      <c r="B56" s="10" t="str">
        <f aca="false">'Taxonomía temas'!D53</f>
        <v>Salud y población</v>
      </c>
      <c r="C56" s="10" t="str">
        <f aca="false">'Taxonomía temas'!E53</f>
        <v>Salud mental</v>
      </c>
      <c r="D56" s="10" t="n">
        <f aca="false">'Taxonomía temas'!F53</f>
        <v>3</v>
      </c>
      <c r="E56" s="10" t="n">
        <f aca="false">COUNTIFS(Inventario!$K$2:$K$1000,A56,Inventario!$D$2:$D$1000,"&lt;&gt;Internacional")</f>
        <v>0</v>
      </c>
      <c r="F56" s="10" t="n">
        <f aca="false">COUNTIFS(Inventario!$M$2:$M$1000,"*"&amp;A56&amp;"*",Inventario!$D$2:$D$1000,"&lt;&gt;Internacional")</f>
        <v>0</v>
      </c>
      <c r="G56" s="10" t="n">
        <f aca="false">COUNTIFS(Inventario!$M$2:$M$1000,"*"&amp;A56&amp;"*",Inventario!$D$2:$D$1000,"&lt;&gt;Internacional",Inventario!$Q$2:$Q$1000,"4*")</f>
        <v>0</v>
      </c>
      <c r="H56" s="10" t="n">
        <f aca="false">COUNTIFS(Inventario!$M$2:$M$1000,"*"&amp;A56&amp;"*",Inventario!$D$2:$D$1000,"&lt;&gt;Internacional",Inventario!$Q$2:$Q$1000,"3*")</f>
        <v>0</v>
      </c>
      <c r="I56" s="10" t="n">
        <f aca="false">COUNTIFS(Inventario!$M$2:$M$1000,"*"&amp;A56&amp;"*",Inventario!$D$2:$D$1000,"&lt;&gt;Internacional",Inventario!$W$2:$W$1000,"Sí")</f>
        <v>0</v>
      </c>
      <c r="J56" s="10" t="n">
        <f aca="false">COUNTIFS(Inventario!$M$2:$M$1000,"*"&amp;A56&amp;"*",Inventario!$D$2:$D$1000,"Internacional")</f>
        <v>0</v>
      </c>
      <c r="K56" s="10" t="str">
        <f aca="false">IF(F56=0,IF(J56&gt;0,"Sin cobertura nacional (solo internacional)","Sin cobertura"),IF(E56=0,"Cobertura indirecta",IF(G56=0,"Cobertura sin análisis","Cobertura con análisis")))</f>
        <v>Sin cobertura</v>
      </c>
      <c r="L56" s="10" t="str">
        <f aca="false">IF(E56&gt;=5,"Alta concentración: revisar superposición","")</f>
        <v/>
      </c>
      <c r="M56" s="11" t="str">
        <f aca="false">HYPERLINK("https://catalogodatos.gub.uy/dataset?q="&amp;SUBSTITUTE('Taxonomía temas'!J53," ","+"),"Buscar datasets")</f>
        <v>Buscar datasets</v>
      </c>
    </row>
    <row r="57" customFormat="false" ht="15" hidden="false" customHeight="false" outlineLevel="0" collapsed="false">
      <c r="A57" s="10" t="str">
        <f aca="false">'Taxonomía temas'!A54</f>
        <v>T53</v>
      </c>
      <c r="B57" s="10" t="str">
        <f aca="false">'Taxonomía temas'!D54</f>
        <v>Estado, gobierno y derechos</v>
      </c>
      <c r="C57" s="10" t="str">
        <f aca="false">'Taxonomía temas'!E54</f>
        <v>Integridad y prevención de la corrupción</v>
      </c>
      <c r="D57" s="10" t="n">
        <f aca="false">'Taxonomía temas'!F54</f>
        <v>16</v>
      </c>
      <c r="E57" s="10" t="n">
        <f aca="false">COUNTIFS(Inventario!$K$2:$K$1000,A57,Inventario!$D$2:$D$1000,"&lt;&gt;Internacional")</f>
        <v>0</v>
      </c>
      <c r="F57" s="10" t="n">
        <f aca="false">COUNTIFS(Inventario!$M$2:$M$1000,"*"&amp;A57&amp;"*",Inventario!$D$2:$D$1000,"&lt;&gt;Internacional")</f>
        <v>0</v>
      </c>
      <c r="G57" s="10" t="n">
        <f aca="false">COUNTIFS(Inventario!$M$2:$M$1000,"*"&amp;A57&amp;"*",Inventario!$D$2:$D$1000,"&lt;&gt;Internacional",Inventario!$Q$2:$Q$1000,"4*")</f>
        <v>0</v>
      </c>
      <c r="H57" s="10" t="n">
        <f aca="false">COUNTIFS(Inventario!$M$2:$M$1000,"*"&amp;A57&amp;"*",Inventario!$D$2:$D$1000,"&lt;&gt;Internacional",Inventario!$Q$2:$Q$1000,"3*")</f>
        <v>0</v>
      </c>
      <c r="I57" s="10" t="n">
        <f aca="false">COUNTIFS(Inventario!$M$2:$M$1000,"*"&amp;A57&amp;"*",Inventario!$D$2:$D$1000,"&lt;&gt;Internacional",Inventario!$W$2:$W$1000,"Sí")</f>
        <v>0</v>
      </c>
      <c r="J57" s="10" t="n">
        <f aca="false">COUNTIFS(Inventario!$M$2:$M$1000,"*"&amp;A57&amp;"*",Inventario!$D$2:$D$1000,"Internacional")</f>
        <v>0</v>
      </c>
      <c r="K57" s="10" t="str">
        <f aca="false">IF(F57=0,IF(J57&gt;0,"Sin cobertura nacional (solo internacional)","Sin cobertura"),IF(E57=0,"Cobertura indirecta",IF(G57=0,"Cobertura sin análisis","Cobertura con análisis")))</f>
        <v>Sin cobertura</v>
      </c>
      <c r="L57" s="10" t="str">
        <f aca="false">IF(E57&gt;=5,"Alta concentración: revisar superposición","")</f>
        <v/>
      </c>
      <c r="M57" s="11" t="str">
        <f aca="false">HYPERLINK("https://catalogodatos.gub.uy/dataset?q="&amp;SUBSTITUTE('Taxonomía temas'!J54," ","+"),"Buscar datasets")</f>
        <v>Buscar datasets</v>
      </c>
    </row>
    <row r="59" customFormat="false" ht="15" hidden="false" customHeight="false" outlineLevel="0" collapsed="false">
      <c r="C59" s="3" t="s">
        <v>1469</v>
      </c>
      <c r="E59" s="3" t="s">
        <v>1470</v>
      </c>
    </row>
    <row r="60" customFormat="false" ht="15" hidden="false" customHeight="false" outlineLevel="0" collapsed="false">
      <c r="C60" s="12" t="s">
        <v>1471</v>
      </c>
      <c r="E60" s="12" t="n">
        <f aca="false">COUNTIF($K$5:$K$57,C60)</f>
        <v>37</v>
      </c>
    </row>
    <row r="61" customFormat="false" ht="15" hidden="false" customHeight="false" outlineLevel="0" collapsed="false">
      <c r="C61" s="12" t="s">
        <v>1472</v>
      </c>
      <c r="E61" s="12" t="n">
        <f aca="false">COUNTIF($K$5:$K$57,C61)</f>
        <v>12</v>
      </c>
    </row>
    <row r="62" customFormat="false" ht="15" hidden="false" customHeight="false" outlineLevel="0" collapsed="false">
      <c r="C62" s="12" t="s">
        <v>1473</v>
      </c>
      <c r="E62" s="12" t="n">
        <f aca="false">COUNTIF($K$5:$K$57,C62)</f>
        <v>0</v>
      </c>
    </row>
    <row r="63" customFormat="false" ht="15" hidden="false" customHeight="false" outlineLevel="0" collapsed="false">
      <c r="C63" s="12" t="s">
        <v>1474</v>
      </c>
      <c r="E63" s="12" t="n">
        <f aca="false">COUNTIF($K$5:$K$57,C63)</f>
        <v>0</v>
      </c>
    </row>
    <row r="64" customFormat="false" ht="15" hidden="false" customHeight="false" outlineLevel="0" collapsed="false">
      <c r="C64" s="12" t="s">
        <v>1475</v>
      </c>
      <c r="E64" s="12" t="n">
        <f aca="false">COUNTIF($K$5:$K$57,C64)</f>
        <v>4</v>
      </c>
    </row>
    <row r="65" customFormat="false" ht="15" hidden="false" customHeight="false" outlineLevel="0" collapsed="false">
      <c r="C65" s="12" t="s">
        <v>1476</v>
      </c>
      <c r="E65" s="12" t="n">
        <f aca="false">COUNTIF($L$5:$L$57,"Alta*")</f>
        <v>11</v>
      </c>
    </row>
    <row r="67" customFormat="false" ht="43.5" hidden="false" customHeight="true" outlineLevel="0" collapsed="false">
      <c r="C67" s="13" t="s">
        <v>1477</v>
      </c>
      <c r="D67" s="13"/>
      <c r="E67" s="13"/>
      <c r="F67" s="13"/>
      <c r="G67" s="13"/>
      <c r="H67" s="13"/>
      <c r="I67" s="13"/>
      <c r="J67" s="13"/>
      <c r="K67" s="13"/>
      <c r="L67" s="13"/>
    </row>
  </sheetData>
  <autoFilter ref="A4:M57"/>
  <mergeCells count="1">
    <mergeCell ref="C67:L67"/>
  </mergeCells>
  <conditionalFormatting sqref="K5:K57">
    <cfRule type="expression" priority="2" aboveAverage="0" equalAverage="0" bottom="0" percent="0" rank="0" text="" dxfId="11">
      <formula>$K5="Cobertura con análisis"</formula>
    </cfRule>
    <cfRule type="expression" priority="3" aboveAverage="0" equalAverage="0" bottom="0" percent="0" rank="0" text="" dxfId="12">
      <formula>$K5="Cobertura sin análisis"</formula>
    </cfRule>
    <cfRule type="expression" priority="4" aboveAverage="0" equalAverage="0" bottom="0" percent="0" rank="0" text="" dxfId="13">
      <formula>$K5="Cobertura indirecta"</formula>
    </cfRule>
    <cfRule type="expression" priority="5" aboveAverage="0" equalAverage="0" bottom="0" percent="0" rank="0" text="" dxfId="14">
      <formula>$K5="Sin cobertura nacional (solo internacional)"</formula>
    </cfRule>
    <cfRule type="expression" priority="6" aboveAverage="0" equalAverage="0" bottom="0" percent="0" rank="0" text="" dxfId="15">
      <formula>$K5="Sin cobertura"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8" min="6" style="0" width="14"/>
    <col collapsed="false" customWidth="true" hidden="false" outlineLevel="0" max="9" min="9" style="0" width="40"/>
  </cols>
  <sheetData>
    <row r="1" customFormat="false" ht="19.7" hidden="false" customHeight="false" outlineLevel="0" collapsed="false">
      <c r="A1" s="1" t="s">
        <v>1478</v>
      </c>
    </row>
    <row r="2" customFormat="false" ht="15" hidden="false" customHeight="false" outlineLevel="0" collapsed="false">
      <c r="A2" s="2" t="s">
        <v>1479</v>
      </c>
    </row>
    <row r="4" customFormat="false" ht="31.5" hidden="false" customHeight="true" outlineLevel="0" collapsed="false">
      <c r="A4" s="5" t="s">
        <v>1459</v>
      </c>
      <c r="B4" s="5" t="s">
        <v>1480</v>
      </c>
      <c r="C4" s="5" t="s">
        <v>1481</v>
      </c>
      <c r="D4" s="5" t="s">
        <v>1482</v>
      </c>
      <c r="E4" s="5" t="s">
        <v>1483</v>
      </c>
      <c r="F4" s="5" t="s">
        <v>1484</v>
      </c>
      <c r="G4" s="5" t="s">
        <v>1485</v>
      </c>
      <c r="H4" s="5" t="s">
        <v>1465</v>
      </c>
      <c r="I4" s="5" t="s">
        <v>1486</v>
      </c>
    </row>
    <row r="5" customFormat="false" ht="15" hidden="false" customHeight="false" outlineLevel="0" collapsed="false">
      <c r="A5" s="10" t="n">
        <v>1</v>
      </c>
      <c r="B5" s="10" t="s">
        <v>1487</v>
      </c>
      <c r="C5" s="10" t="n">
        <f aca="false">COUNTIF('Taxonomía temas'!$F$2:$F$54,A5)</f>
        <v>3</v>
      </c>
      <c r="D5" s="10" t="n">
        <f aca="false">COUNTIFS(Inventario!$O$2:$O$1000,A5,Inventario!$D$2:$D$1000,"&lt;&gt;Internacional")</f>
        <v>9</v>
      </c>
      <c r="E5" s="10" t="n">
        <f aca="false">COUNTIFS('Cobertura temática'!$D$5:$D$57,A5,'Cobertura temática'!$K$5:$K$57,"Cobertura con análisis")</f>
        <v>3</v>
      </c>
      <c r="F5" s="10" t="n">
        <f aca="false">COUNTIFS('Cobertura temática'!$D$5:$D$57,A5,'Cobertura temática'!$K$5:$K$57,"Cobertura sin análisis")+COUNTIFS('Cobertura temática'!$D$5:$D$57,A5,'Cobertura temática'!$K$5:$K$57,"Cobertura indirecta")</f>
        <v>0</v>
      </c>
      <c r="G5" s="10" t="n">
        <f aca="false">COUNTIFS('Cobertura temática'!$D$5:$D$57,A5,'Cobertura temática'!$K$5:$K$57,"Sin cobertura*")</f>
        <v>0</v>
      </c>
      <c r="H5" s="10" t="n">
        <f aca="false">COUNTIFS(Inventario!$O$2:$O$1000,A5,Inventario!$D$2:$D$1000,"Internacional")</f>
        <v>1</v>
      </c>
      <c r="I5" s="10" t="str">
        <f aca="false">IF(G5&gt;0,"Hay temas sin cobertura nacional",IF(F5&gt;0,"Cobertura sin análisis en algún tema",IF(D5=0,"Sin recursos nacionales","Cubierto")))</f>
        <v>Cubierto</v>
      </c>
    </row>
    <row r="6" customFormat="false" ht="15" hidden="false" customHeight="false" outlineLevel="0" collapsed="false">
      <c r="A6" s="10" t="n">
        <v>2</v>
      </c>
      <c r="B6" s="10" t="s">
        <v>1488</v>
      </c>
      <c r="C6" s="10" t="n">
        <f aca="false">COUNTIF('Taxonomía temas'!$F$2:$F$54,A6)</f>
        <v>2</v>
      </c>
      <c r="D6" s="10" t="n">
        <f aca="false">COUNTIFS(Inventario!$O$2:$O$1000,A6,Inventario!$D$2:$D$1000,"&lt;&gt;Internacional")</f>
        <v>14</v>
      </c>
      <c r="E6" s="10" t="n">
        <f aca="false">COUNTIFS('Cobertura temática'!$D$5:$D$57,A6,'Cobertura temática'!$K$5:$K$57,"Cobertura con análisis")</f>
        <v>2</v>
      </c>
      <c r="F6" s="10" t="n">
        <f aca="false">COUNTIFS('Cobertura temática'!$D$5:$D$57,A6,'Cobertura temática'!$K$5:$K$57,"Cobertura sin análisis")+COUNTIFS('Cobertura temática'!$D$5:$D$57,A6,'Cobertura temática'!$K$5:$K$57,"Cobertura indirecta")</f>
        <v>0</v>
      </c>
      <c r="G6" s="10" t="n">
        <f aca="false">COUNTIFS('Cobertura temática'!$D$5:$D$57,A6,'Cobertura temática'!$K$5:$K$57,"Sin cobertura*")</f>
        <v>0</v>
      </c>
      <c r="H6" s="10" t="n">
        <f aca="false">COUNTIFS(Inventario!$O$2:$O$1000,A6,Inventario!$D$2:$D$1000,"Internacional")</f>
        <v>1</v>
      </c>
      <c r="I6" s="10" t="str">
        <f aca="false">IF(G6&gt;0,"Hay temas sin cobertura nacional",IF(F6&gt;0,"Cobertura sin análisis en algún tema",IF(D6=0,"Sin recursos nacionales","Cubierto")))</f>
        <v>Cubierto</v>
      </c>
    </row>
    <row r="7" customFormat="false" ht="15" hidden="false" customHeight="false" outlineLevel="0" collapsed="false">
      <c r="A7" s="10" t="n">
        <v>3</v>
      </c>
      <c r="B7" s="10" t="s">
        <v>1489</v>
      </c>
      <c r="C7" s="10" t="n">
        <f aca="false">COUNTIF('Taxonomía temas'!$F$2:$F$54,A7)</f>
        <v>5</v>
      </c>
      <c r="D7" s="10" t="n">
        <f aca="false">COUNTIFS(Inventario!$O$2:$O$1000,A7,Inventario!$D$2:$D$1000,"&lt;&gt;Internacional")</f>
        <v>9</v>
      </c>
      <c r="E7" s="10" t="n">
        <f aca="false">COUNTIFS('Cobertura temática'!$D$5:$D$57,A7,'Cobertura temática'!$K$5:$K$57,"Cobertura con análisis")</f>
        <v>3</v>
      </c>
      <c r="F7" s="10" t="n">
        <f aca="false">COUNTIFS('Cobertura temática'!$D$5:$D$57,A7,'Cobertura temática'!$K$5:$K$57,"Cobertura sin análisis")+COUNTIFS('Cobertura temática'!$D$5:$D$57,A7,'Cobertura temática'!$K$5:$K$57,"Cobertura indirecta")</f>
        <v>1</v>
      </c>
      <c r="G7" s="10" t="n">
        <f aca="false">COUNTIFS('Cobertura temática'!$D$5:$D$57,A7,'Cobertura temática'!$K$5:$K$57,"Sin cobertura*")</f>
        <v>1</v>
      </c>
      <c r="H7" s="10" t="n">
        <f aca="false">COUNTIFS(Inventario!$O$2:$O$1000,A7,Inventario!$D$2:$D$1000,"Internacional")</f>
        <v>1</v>
      </c>
      <c r="I7" s="10" t="str">
        <f aca="false">IF(G7&gt;0,"Hay temas sin cobertura nacional",IF(F7&gt;0,"Cobertura sin análisis en algún tema",IF(D7=0,"Sin recursos nacionales","Cubierto")))</f>
        <v>Hay temas sin cobertura nacional</v>
      </c>
    </row>
    <row r="8" customFormat="false" ht="15" hidden="false" customHeight="false" outlineLevel="0" collapsed="false">
      <c r="A8" s="10" t="n">
        <v>4</v>
      </c>
      <c r="B8" s="10" t="s">
        <v>1490</v>
      </c>
      <c r="C8" s="10" t="n">
        <f aca="false">COUNTIF('Taxonomía temas'!$F$2:$F$54,A8)</f>
        <v>4</v>
      </c>
      <c r="D8" s="10" t="n">
        <f aca="false">COUNTIFS(Inventario!$O$2:$O$1000,A8,Inventario!$D$2:$D$1000,"&lt;&gt;Internacional")</f>
        <v>13</v>
      </c>
      <c r="E8" s="10" t="n">
        <f aca="false">COUNTIFS('Cobertura temática'!$D$5:$D$57,A8,'Cobertura temática'!$K$5:$K$57,"Cobertura con análisis")</f>
        <v>3</v>
      </c>
      <c r="F8" s="10" t="n">
        <f aca="false">COUNTIFS('Cobertura temática'!$D$5:$D$57,A8,'Cobertura temática'!$K$5:$K$57,"Cobertura sin análisis")+COUNTIFS('Cobertura temática'!$D$5:$D$57,A8,'Cobertura temática'!$K$5:$K$57,"Cobertura indirecta")</f>
        <v>1</v>
      </c>
      <c r="G8" s="10" t="n">
        <f aca="false">COUNTIFS('Cobertura temática'!$D$5:$D$57,A8,'Cobertura temática'!$K$5:$K$57,"Sin cobertura*")</f>
        <v>0</v>
      </c>
      <c r="H8" s="10" t="n">
        <f aca="false">COUNTIFS(Inventario!$O$2:$O$1000,A8,Inventario!$D$2:$D$1000,"Internacional")</f>
        <v>0</v>
      </c>
      <c r="I8" s="10" t="str">
        <f aca="false">IF(G8&gt;0,"Hay temas sin cobertura nacional",IF(F8&gt;0,"Cobertura sin análisis en algún tema",IF(D8=0,"Sin recursos nacionales","Cubierto")))</f>
        <v>Cobertura sin análisis en algún tema</v>
      </c>
    </row>
    <row r="9" customFormat="false" ht="15" hidden="false" customHeight="false" outlineLevel="0" collapsed="false">
      <c r="A9" s="10" t="n">
        <v>5</v>
      </c>
      <c r="B9" s="10" t="s">
        <v>1491</v>
      </c>
      <c r="C9" s="10" t="n">
        <f aca="false">COUNTIF('Taxonomía temas'!$F$2:$F$54,A9)</f>
        <v>1</v>
      </c>
      <c r="D9" s="10" t="n">
        <f aca="false">COUNTIFS(Inventario!$O$2:$O$1000,A9,Inventario!$D$2:$D$1000,"&lt;&gt;Internacional")</f>
        <v>1</v>
      </c>
      <c r="E9" s="10" t="n">
        <f aca="false">COUNTIFS('Cobertura temática'!$D$5:$D$57,A9,'Cobertura temática'!$K$5:$K$57,"Cobertura con análisis")</f>
        <v>0</v>
      </c>
      <c r="F9" s="10" t="n">
        <f aca="false">COUNTIFS('Cobertura temática'!$D$5:$D$57,A9,'Cobertura temática'!$K$5:$K$57,"Cobertura sin análisis")+COUNTIFS('Cobertura temática'!$D$5:$D$57,A9,'Cobertura temática'!$K$5:$K$57,"Cobertura indirecta")</f>
        <v>1</v>
      </c>
      <c r="G9" s="10" t="n">
        <f aca="false">COUNTIFS('Cobertura temática'!$D$5:$D$57,A9,'Cobertura temática'!$K$5:$K$57,"Sin cobertura*")</f>
        <v>0</v>
      </c>
      <c r="H9" s="10" t="n">
        <f aca="false">COUNTIFS(Inventario!$O$2:$O$1000,A9,Inventario!$D$2:$D$1000,"Internacional")</f>
        <v>0</v>
      </c>
      <c r="I9" s="10" t="str">
        <f aca="false">IF(G9&gt;0,"Hay temas sin cobertura nacional",IF(F9&gt;0,"Cobertura sin análisis en algún tema",IF(D9=0,"Sin recursos nacionales","Cubierto")))</f>
        <v>Cobertura sin análisis en algún tema</v>
      </c>
    </row>
    <row r="10" customFormat="false" ht="15" hidden="false" customHeight="false" outlineLevel="0" collapsed="false">
      <c r="A10" s="10" t="n">
        <v>6</v>
      </c>
      <c r="B10" s="10" t="s">
        <v>1492</v>
      </c>
      <c r="C10" s="10" t="n">
        <f aca="false">COUNTIF('Taxonomía temas'!$F$2:$F$54,A10)</f>
        <v>1</v>
      </c>
      <c r="D10" s="10" t="n">
        <f aca="false">COUNTIFS(Inventario!$O$2:$O$1000,A10,Inventario!$D$2:$D$1000,"&lt;&gt;Internacional")</f>
        <v>3</v>
      </c>
      <c r="E10" s="10" t="n">
        <f aca="false">COUNTIFS('Cobertura temática'!$D$5:$D$57,A10,'Cobertura temática'!$K$5:$K$57,"Cobertura con análisis")</f>
        <v>1</v>
      </c>
      <c r="F10" s="10" t="n">
        <f aca="false">COUNTIFS('Cobertura temática'!$D$5:$D$57,A10,'Cobertura temática'!$K$5:$K$57,"Cobertura sin análisis")+COUNTIFS('Cobertura temática'!$D$5:$D$57,A10,'Cobertura temática'!$K$5:$K$57,"Cobertura indirecta")</f>
        <v>0</v>
      </c>
      <c r="G10" s="10" t="n">
        <f aca="false">COUNTIFS('Cobertura temática'!$D$5:$D$57,A10,'Cobertura temática'!$K$5:$K$57,"Sin cobertura*")</f>
        <v>0</v>
      </c>
      <c r="H10" s="10" t="n">
        <f aca="false">COUNTIFS(Inventario!$O$2:$O$1000,A10,Inventario!$D$2:$D$1000,"Internacional")</f>
        <v>0</v>
      </c>
      <c r="I10" s="10" t="str">
        <f aca="false">IF(G10&gt;0,"Hay temas sin cobertura nacional",IF(F10&gt;0,"Cobertura sin análisis en algún tema",IF(D10=0,"Sin recursos nacionales","Cubierto")))</f>
        <v>Cubierto</v>
      </c>
    </row>
    <row r="11" customFormat="false" ht="15" hidden="false" customHeight="false" outlineLevel="0" collapsed="false">
      <c r="A11" s="10" t="n">
        <v>7</v>
      </c>
      <c r="B11" s="10" t="s">
        <v>1493</v>
      </c>
      <c r="C11" s="10" t="n">
        <f aca="false">COUNTIF('Taxonomía temas'!$F$2:$F$54,A11)</f>
        <v>1</v>
      </c>
      <c r="D11" s="10" t="n">
        <f aca="false">COUNTIFS(Inventario!$O$2:$O$1000,A11,Inventario!$D$2:$D$1000,"&lt;&gt;Internacional")</f>
        <v>6</v>
      </c>
      <c r="E11" s="10" t="n">
        <f aca="false">COUNTIFS('Cobertura temática'!$D$5:$D$57,A11,'Cobertura temática'!$K$5:$K$57,"Cobertura con análisis")</f>
        <v>1</v>
      </c>
      <c r="F11" s="10" t="n">
        <f aca="false">COUNTIFS('Cobertura temática'!$D$5:$D$57,A11,'Cobertura temática'!$K$5:$K$57,"Cobertura sin análisis")+COUNTIFS('Cobertura temática'!$D$5:$D$57,A11,'Cobertura temática'!$K$5:$K$57,"Cobertura indirecta")</f>
        <v>0</v>
      </c>
      <c r="G11" s="10" t="n">
        <f aca="false">COUNTIFS('Cobertura temática'!$D$5:$D$57,A11,'Cobertura temática'!$K$5:$K$57,"Sin cobertura*")</f>
        <v>0</v>
      </c>
      <c r="H11" s="10" t="n">
        <f aca="false">COUNTIFS(Inventario!$O$2:$O$1000,A11,Inventario!$D$2:$D$1000,"Internacional")</f>
        <v>0</v>
      </c>
      <c r="I11" s="10" t="str">
        <f aca="false">IF(G11&gt;0,"Hay temas sin cobertura nacional",IF(F11&gt;0,"Cobertura sin análisis en algún tema",IF(D11=0,"Sin recursos nacionales","Cubierto")))</f>
        <v>Cubierto</v>
      </c>
    </row>
    <row r="12" customFormat="false" ht="15" hidden="false" customHeight="false" outlineLevel="0" collapsed="false">
      <c r="A12" s="10" t="n">
        <v>8</v>
      </c>
      <c r="B12" s="10" t="s">
        <v>1494</v>
      </c>
      <c r="C12" s="10" t="n">
        <f aca="false">COUNTIF('Taxonomía temas'!$F$2:$F$54,A12)</f>
        <v>6</v>
      </c>
      <c r="D12" s="10" t="n">
        <f aca="false">COUNTIFS(Inventario!$O$2:$O$1000,A12,Inventario!$D$2:$D$1000,"&lt;&gt;Internacional")</f>
        <v>10</v>
      </c>
      <c r="E12" s="10" t="n">
        <f aca="false">COUNTIFS('Cobertura temática'!$D$5:$D$57,A12,'Cobertura temática'!$K$5:$K$57,"Cobertura con análisis")</f>
        <v>4</v>
      </c>
      <c r="F12" s="10" t="n">
        <f aca="false">COUNTIFS('Cobertura temática'!$D$5:$D$57,A12,'Cobertura temática'!$K$5:$K$57,"Cobertura sin análisis")+COUNTIFS('Cobertura temática'!$D$5:$D$57,A12,'Cobertura temática'!$K$5:$K$57,"Cobertura indirecta")</f>
        <v>1</v>
      </c>
      <c r="G12" s="10" t="n">
        <f aca="false">COUNTIFS('Cobertura temática'!$D$5:$D$57,A12,'Cobertura temática'!$K$5:$K$57,"Sin cobertura*")</f>
        <v>1</v>
      </c>
      <c r="H12" s="10" t="n">
        <f aca="false">COUNTIFS(Inventario!$O$2:$O$1000,A12,Inventario!$D$2:$D$1000,"Internacional")</f>
        <v>2</v>
      </c>
      <c r="I12" s="10" t="str">
        <f aca="false">IF(G12&gt;0,"Hay temas sin cobertura nacional",IF(F12&gt;0,"Cobertura sin análisis en algún tema",IF(D12=0,"Sin recursos nacionales","Cubierto")))</f>
        <v>Hay temas sin cobertura nacional</v>
      </c>
    </row>
    <row r="13" customFormat="false" ht="15" hidden="false" customHeight="false" outlineLevel="0" collapsed="false">
      <c r="A13" s="10" t="n">
        <v>9</v>
      </c>
      <c r="B13" s="10" t="s">
        <v>1495</v>
      </c>
      <c r="C13" s="10" t="n">
        <f aca="false">COUNTIF('Taxonomía temas'!$F$2:$F$54,A13)</f>
        <v>6</v>
      </c>
      <c r="D13" s="10" t="n">
        <f aca="false">COUNTIFS(Inventario!$O$2:$O$1000,A13,Inventario!$D$2:$D$1000,"&lt;&gt;Internacional")</f>
        <v>11</v>
      </c>
      <c r="E13" s="10" t="n">
        <f aca="false">COUNTIFS('Cobertura temática'!$D$5:$D$57,A13,'Cobertura temática'!$K$5:$K$57,"Cobertura con análisis")</f>
        <v>4</v>
      </c>
      <c r="F13" s="10" t="n">
        <f aca="false">COUNTIFS('Cobertura temática'!$D$5:$D$57,A13,'Cobertura temática'!$K$5:$K$57,"Cobertura sin análisis")+COUNTIFS('Cobertura temática'!$D$5:$D$57,A13,'Cobertura temática'!$K$5:$K$57,"Cobertura indirecta")</f>
        <v>2</v>
      </c>
      <c r="G13" s="10" t="n">
        <f aca="false">COUNTIFS('Cobertura temática'!$D$5:$D$57,A13,'Cobertura temática'!$K$5:$K$57,"Sin cobertura*")</f>
        <v>0</v>
      </c>
      <c r="H13" s="10" t="n">
        <f aca="false">COUNTIFS(Inventario!$O$2:$O$1000,A13,Inventario!$D$2:$D$1000,"Internacional")</f>
        <v>9</v>
      </c>
      <c r="I13" s="10" t="str">
        <f aca="false">IF(G13&gt;0,"Hay temas sin cobertura nacional",IF(F13&gt;0,"Cobertura sin análisis en algún tema",IF(D13=0,"Sin recursos nacionales","Cubierto")))</f>
        <v>Cobertura sin análisis en algún tema</v>
      </c>
    </row>
    <row r="14" customFormat="false" ht="15" hidden="false" customHeight="false" outlineLevel="0" collapsed="false">
      <c r="A14" s="10" t="n">
        <v>10</v>
      </c>
      <c r="B14" s="10" t="s">
        <v>1496</v>
      </c>
      <c r="C14" s="10" t="n">
        <f aca="false">COUNTIF('Taxonomía temas'!$F$2:$F$54,A14)</f>
        <v>1</v>
      </c>
      <c r="D14" s="10" t="n">
        <f aca="false">COUNTIFS(Inventario!$O$2:$O$1000,A14,Inventario!$D$2:$D$1000,"&lt;&gt;Internacional")</f>
        <v>2</v>
      </c>
      <c r="E14" s="10" t="n">
        <f aca="false">COUNTIFS('Cobertura temática'!$D$5:$D$57,A14,'Cobertura temática'!$K$5:$K$57,"Cobertura con análisis")</f>
        <v>1</v>
      </c>
      <c r="F14" s="10" t="n">
        <f aca="false">COUNTIFS('Cobertura temática'!$D$5:$D$57,A14,'Cobertura temática'!$K$5:$K$57,"Cobertura sin análisis")+COUNTIFS('Cobertura temática'!$D$5:$D$57,A14,'Cobertura temática'!$K$5:$K$57,"Cobertura indirecta")</f>
        <v>0</v>
      </c>
      <c r="G14" s="10" t="n">
        <f aca="false">COUNTIFS('Cobertura temática'!$D$5:$D$57,A14,'Cobertura temática'!$K$5:$K$57,"Sin cobertura*")</f>
        <v>0</v>
      </c>
      <c r="H14" s="10" t="n">
        <f aca="false">COUNTIFS(Inventario!$O$2:$O$1000,A14,Inventario!$D$2:$D$1000,"Internacional")</f>
        <v>0</v>
      </c>
      <c r="I14" s="10" t="str">
        <f aca="false">IF(G14&gt;0,"Hay temas sin cobertura nacional",IF(F14&gt;0,"Cobertura sin análisis en algún tema",IF(D14=0,"Sin recursos nacionales","Cubierto")))</f>
        <v>Cubierto</v>
      </c>
    </row>
    <row r="15" customFormat="false" ht="15" hidden="false" customHeight="false" outlineLevel="0" collapsed="false">
      <c r="A15" s="10" t="n">
        <v>11</v>
      </c>
      <c r="B15" s="10" t="s">
        <v>1497</v>
      </c>
      <c r="C15" s="10" t="n">
        <f aca="false">COUNTIF('Taxonomía temas'!$F$2:$F$54,A15)</f>
        <v>5</v>
      </c>
      <c r="D15" s="10" t="n">
        <f aca="false">COUNTIFS(Inventario!$O$2:$O$1000,A15,Inventario!$D$2:$D$1000,"&lt;&gt;Internacional")</f>
        <v>12</v>
      </c>
      <c r="E15" s="10" t="n">
        <f aca="false">COUNTIFS('Cobertura temática'!$D$5:$D$57,A15,'Cobertura temática'!$K$5:$K$57,"Cobertura con análisis")</f>
        <v>3</v>
      </c>
      <c r="F15" s="10" t="n">
        <f aca="false">COUNTIFS('Cobertura temática'!$D$5:$D$57,A15,'Cobertura temática'!$K$5:$K$57,"Cobertura sin análisis")+COUNTIFS('Cobertura temática'!$D$5:$D$57,A15,'Cobertura temática'!$K$5:$K$57,"Cobertura indirecta")</f>
        <v>2</v>
      </c>
      <c r="G15" s="10" t="n">
        <f aca="false">COUNTIFS('Cobertura temática'!$D$5:$D$57,A15,'Cobertura temática'!$K$5:$K$57,"Sin cobertura*")</f>
        <v>0</v>
      </c>
      <c r="H15" s="10" t="n">
        <f aca="false">COUNTIFS(Inventario!$O$2:$O$1000,A15,Inventario!$D$2:$D$1000,"Internacional")</f>
        <v>0</v>
      </c>
      <c r="I15" s="10" t="str">
        <f aca="false">IF(G15&gt;0,"Hay temas sin cobertura nacional",IF(F15&gt;0,"Cobertura sin análisis en algún tema",IF(D15=0,"Sin recursos nacionales","Cubierto")))</f>
        <v>Cobertura sin análisis en algún tema</v>
      </c>
    </row>
    <row r="16" customFormat="false" ht="15" hidden="false" customHeight="false" outlineLevel="0" collapsed="false">
      <c r="A16" s="10" t="n">
        <v>12</v>
      </c>
      <c r="B16" s="10" t="s">
        <v>1498</v>
      </c>
      <c r="C16" s="10" t="n">
        <f aca="false">COUNTIF('Taxonomía temas'!$F$2:$F$54,A16)</f>
        <v>2</v>
      </c>
      <c r="D16" s="10" t="n">
        <f aca="false">COUNTIFS(Inventario!$O$2:$O$1000,A16,Inventario!$D$2:$D$1000,"&lt;&gt;Internacional")</f>
        <v>5</v>
      </c>
      <c r="E16" s="10" t="n">
        <f aca="false">COUNTIFS('Cobertura temática'!$D$5:$D$57,A16,'Cobertura temática'!$K$5:$K$57,"Cobertura con análisis")</f>
        <v>2</v>
      </c>
      <c r="F16" s="10" t="n">
        <f aca="false">COUNTIFS('Cobertura temática'!$D$5:$D$57,A16,'Cobertura temática'!$K$5:$K$57,"Cobertura sin análisis")+COUNTIFS('Cobertura temática'!$D$5:$D$57,A16,'Cobertura temática'!$K$5:$K$57,"Cobertura indirecta")</f>
        <v>0</v>
      </c>
      <c r="G16" s="10" t="n">
        <f aca="false">COUNTIFS('Cobertura temática'!$D$5:$D$57,A16,'Cobertura temática'!$K$5:$K$57,"Sin cobertura*")</f>
        <v>0</v>
      </c>
      <c r="H16" s="10" t="n">
        <f aca="false">COUNTIFS(Inventario!$O$2:$O$1000,A16,Inventario!$D$2:$D$1000,"Internacional")</f>
        <v>0</v>
      </c>
      <c r="I16" s="10" t="str">
        <f aca="false">IF(G16&gt;0,"Hay temas sin cobertura nacional",IF(F16&gt;0,"Cobertura sin análisis en algún tema",IF(D16=0,"Sin recursos nacionales","Cubierto")))</f>
        <v>Cubierto</v>
      </c>
    </row>
    <row r="17" customFormat="false" ht="15" hidden="false" customHeight="false" outlineLevel="0" collapsed="false">
      <c r="A17" s="10" t="n">
        <v>13</v>
      </c>
      <c r="B17" s="10" t="s">
        <v>1499</v>
      </c>
      <c r="C17" s="10" t="n">
        <f aca="false">COUNTIF('Taxonomía temas'!$F$2:$F$54,A17)</f>
        <v>1</v>
      </c>
      <c r="D17" s="10" t="n">
        <f aca="false">COUNTIFS(Inventario!$O$2:$O$1000,A17,Inventario!$D$2:$D$1000,"&lt;&gt;Internacional")</f>
        <v>5</v>
      </c>
      <c r="E17" s="10" t="n">
        <f aca="false">COUNTIFS('Cobertura temática'!$D$5:$D$57,A17,'Cobertura temática'!$K$5:$K$57,"Cobertura con análisis")</f>
        <v>1</v>
      </c>
      <c r="F17" s="10" t="n">
        <f aca="false">COUNTIFS('Cobertura temática'!$D$5:$D$57,A17,'Cobertura temática'!$K$5:$K$57,"Cobertura sin análisis")+COUNTIFS('Cobertura temática'!$D$5:$D$57,A17,'Cobertura temática'!$K$5:$K$57,"Cobertura indirecta")</f>
        <v>0</v>
      </c>
      <c r="G17" s="10" t="n">
        <f aca="false">COUNTIFS('Cobertura temática'!$D$5:$D$57,A17,'Cobertura temática'!$K$5:$K$57,"Sin cobertura*")</f>
        <v>0</v>
      </c>
      <c r="H17" s="10" t="n">
        <f aca="false">COUNTIFS(Inventario!$O$2:$O$1000,A17,Inventario!$D$2:$D$1000,"Internacional")</f>
        <v>1</v>
      </c>
      <c r="I17" s="10" t="str">
        <f aca="false">IF(G17&gt;0,"Hay temas sin cobertura nacional",IF(F17&gt;0,"Cobertura sin análisis en algún tema",IF(D17=0,"Sin recursos nacionales","Cubierto")))</f>
        <v>Cubierto</v>
      </c>
    </row>
    <row r="18" customFormat="false" ht="15" hidden="false" customHeight="false" outlineLevel="0" collapsed="false">
      <c r="A18" s="10" t="n">
        <v>14</v>
      </c>
      <c r="B18" s="10" t="s">
        <v>1500</v>
      </c>
      <c r="C18" s="10" t="n">
        <f aca="false">COUNTIF('Taxonomía temas'!$F$2:$F$54,A18)</f>
        <v>1</v>
      </c>
      <c r="D18" s="10" t="n">
        <f aca="false">COUNTIFS(Inventario!$O$2:$O$1000,A18,Inventario!$D$2:$D$1000,"&lt;&gt;Internacional")</f>
        <v>0</v>
      </c>
      <c r="E18" s="10" t="n">
        <f aca="false">COUNTIFS('Cobertura temática'!$D$5:$D$57,A18,'Cobertura temática'!$K$5:$K$57,"Cobertura con análisis")</f>
        <v>0</v>
      </c>
      <c r="F18" s="10" t="n">
        <f aca="false">COUNTIFS('Cobertura temática'!$D$5:$D$57,A18,'Cobertura temática'!$K$5:$K$57,"Cobertura sin análisis")+COUNTIFS('Cobertura temática'!$D$5:$D$57,A18,'Cobertura temática'!$K$5:$K$57,"Cobertura indirecta")</f>
        <v>0</v>
      </c>
      <c r="G18" s="10" t="n">
        <f aca="false">COUNTIFS('Cobertura temática'!$D$5:$D$57,A18,'Cobertura temática'!$K$5:$K$57,"Sin cobertura*")</f>
        <v>1</v>
      </c>
      <c r="H18" s="10" t="n">
        <f aca="false">COUNTIFS(Inventario!$O$2:$O$1000,A18,Inventario!$D$2:$D$1000,"Internacional")</f>
        <v>0</v>
      </c>
      <c r="I18" s="10" t="str">
        <f aca="false">IF(G18&gt;0,"Hay temas sin cobertura nacional",IF(F18&gt;0,"Cobertura sin análisis en algún tema",IF(D18=0,"Sin recursos nacionales","Cubierto")))</f>
        <v>Hay temas sin cobertura nacional</v>
      </c>
    </row>
    <row r="19" customFormat="false" ht="15" hidden="false" customHeight="false" outlineLevel="0" collapsed="false">
      <c r="A19" s="10" t="n">
        <v>15</v>
      </c>
      <c r="B19" s="10" t="s">
        <v>1501</v>
      </c>
      <c r="C19" s="10" t="n">
        <f aca="false">COUNTIF('Taxonomía temas'!$F$2:$F$54,A19)</f>
        <v>2</v>
      </c>
      <c r="D19" s="10" t="n">
        <f aca="false">COUNTIFS(Inventario!$O$2:$O$1000,A19,Inventario!$D$2:$D$1000,"&lt;&gt;Internacional")</f>
        <v>7</v>
      </c>
      <c r="E19" s="10" t="n">
        <f aca="false">COUNTIFS('Cobertura temática'!$D$5:$D$57,A19,'Cobertura temática'!$K$5:$K$57,"Cobertura con análisis")</f>
        <v>1</v>
      </c>
      <c r="F19" s="10" t="n">
        <f aca="false">COUNTIFS('Cobertura temática'!$D$5:$D$57,A19,'Cobertura temática'!$K$5:$K$57,"Cobertura sin análisis")+COUNTIFS('Cobertura temática'!$D$5:$D$57,A19,'Cobertura temática'!$K$5:$K$57,"Cobertura indirecta")</f>
        <v>1</v>
      </c>
      <c r="G19" s="10" t="n">
        <f aca="false">COUNTIFS('Cobertura temática'!$D$5:$D$57,A19,'Cobertura temática'!$K$5:$K$57,"Sin cobertura*")</f>
        <v>0</v>
      </c>
      <c r="H19" s="10" t="n">
        <f aca="false">COUNTIFS(Inventario!$O$2:$O$1000,A19,Inventario!$D$2:$D$1000,"Internacional")</f>
        <v>0</v>
      </c>
      <c r="I19" s="10" t="str">
        <f aca="false">IF(G19&gt;0,"Hay temas sin cobertura nacional",IF(F19&gt;0,"Cobertura sin análisis en algún tema",IF(D19=0,"Sin recursos nacionales","Cubierto")))</f>
        <v>Cobertura sin análisis en algún tema</v>
      </c>
    </row>
    <row r="20" customFormat="false" ht="15" hidden="false" customHeight="false" outlineLevel="0" collapsed="false">
      <c r="A20" s="10" t="n">
        <v>16</v>
      </c>
      <c r="B20" s="10" t="s">
        <v>1502</v>
      </c>
      <c r="C20" s="10" t="n">
        <f aca="false">COUNTIF('Taxonomía temas'!$F$2:$F$54,A20)</f>
        <v>7</v>
      </c>
      <c r="D20" s="10" t="n">
        <f aca="false">COUNTIFS(Inventario!$O$2:$O$1000,A20,Inventario!$D$2:$D$1000,"&lt;&gt;Internacional")</f>
        <v>19</v>
      </c>
      <c r="E20" s="10" t="n">
        <f aca="false">COUNTIFS('Cobertura temática'!$D$5:$D$57,A20,'Cobertura temática'!$K$5:$K$57,"Cobertura con análisis")</f>
        <v>5</v>
      </c>
      <c r="F20" s="10" t="n">
        <f aca="false">COUNTIFS('Cobertura temática'!$D$5:$D$57,A20,'Cobertura temática'!$K$5:$K$57,"Cobertura sin análisis")+COUNTIFS('Cobertura temática'!$D$5:$D$57,A20,'Cobertura temática'!$K$5:$K$57,"Cobertura indirecta")</f>
        <v>1</v>
      </c>
      <c r="G20" s="10" t="n">
        <f aca="false">COUNTIFS('Cobertura temática'!$D$5:$D$57,A20,'Cobertura temática'!$K$5:$K$57,"Sin cobertura*")</f>
        <v>1</v>
      </c>
      <c r="H20" s="10" t="n">
        <f aca="false">COUNTIFS(Inventario!$O$2:$O$1000,A20,Inventario!$D$2:$D$1000,"Internacional")</f>
        <v>1</v>
      </c>
      <c r="I20" s="10" t="str">
        <f aca="false">IF(G20&gt;0,"Hay temas sin cobertura nacional",IF(F20&gt;0,"Cobertura sin análisis en algún tema",IF(D20=0,"Sin recursos nacionales","Cubierto")))</f>
        <v>Hay temas sin cobertura nacional</v>
      </c>
    </row>
    <row r="21" customFormat="false" ht="15" hidden="false" customHeight="false" outlineLevel="0" collapsed="false">
      <c r="A21" s="10" t="n">
        <v>17</v>
      </c>
      <c r="B21" s="10" t="s">
        <v>1503</v>
      </c>
      <c r="C21" s="10" t="n">
        <f aca="false">COUNTIF('Taxonomía temas'!$F$2:$F$54,A21)</f>
        <v>5</v>
      </c>
      <c r="D21" s="10" t="n">
        <f aca="false">COUNTIFS(Inventario!$O$2:$O$1000,A21,Inventario!$D$2:$D$1000,"&lt;&gt;Internacional")</f>
        <v>22</v>
      </c>
      <c r="E21" s="10" t="n">
        <f aca="false">COUNTIFS('Cobertura temática'!$D$5:$D$57,A21,'Cobertura temática'!$K$5:$K$57,"Cobertura con análisis")</f>
        <v>3</v>
      </c>
      <c r="F21" s="10" t="n">
        <f aca="false">COUNTIFS('Cobertura temática'!$D$5:$D$57,A21,'Cobertura temática'!$K$5:$K$57,"Cobertura sin análisis")+COUNTIFS('Cobertura temática'!$D$5:$D$57,A21,'Cobertura temática'!$K$5:$K$57,"Cobertura indirecta")</f>
        <v>2</v>
      </c>
      <c r="G21" s="10" t="n">
        <f aca="false">COUNTIFS('Cobertura temática'!$D$5:$D$57,A21,'Cobertura temática'!$K$5:$K$57,"Sin cobertura*")</f>
        <v>0</v>
      </c>
      <c r="H21" s="10" t="n">
        <f aca="false">COUNTIFS(Inventario!$O$2:$O$1000,A21,Inventario!$D$2:$D$1000,"Internacional")</f>
        <v>6</v>
      </c>
      <c r="I21" s="10" t="str">
        <f aca="false">IF(G21&gt;0,"Hay temas sin cobertura nacional",IF(F21&gt;0,"Cobertura sin análisis en algún tema",IF(D21=0,"Sin recursos nacionales","Cubierto")))</f>
        <v>Cobertura sin análisis en algún tema</v>
      </c>
    </row>
    <row r="23" customFormat="false" ht="15" hidden="false" customHeight="false" outlineLevel="0" collapsed="false">
      <c r="B23" s="3" t="s">
        <v>1504</v>
      </c>
      <c r="C23" s="3" t="n">
        <f aca="false">SUM(C5:C21)</f>
        <v>53</v>
      </c>
      <c r="D23" s="3" t="n">
        <f aca="false">SUM(D5:D21)</f>
        <v>148</v>
      </c>
      <c r="E23" s="3" t="n">
        <f aca="false">SUM(E5:E21)</f>
        <v>37</v>
      </c>
      <c r="F23" s="3" t="n">
        <f aca="false">SUM(F5:F21)</f>
        <v>12</v>
      </c>
      <c r="G23" s="3" t="n">
        <f aca="false">SUM(G5:G21)</f>
        <v>4</v>
      </c>
      <c r="H23" s="3" t="n">
        <f aca="false">SUM(H5:H21)</f>
        <v>22</v>
      </c>
    </row>
  </sheetData>
  <conditionalFormatting sqref="I5:I21">
    <cfRule type="expression" priority="2" aboveAverage="0" equalAverage="0" bottom="0" percent="0" rank="0" text="" dxfId="14">
      <formula>LEFT($I5,3)="Hay"</formula>
    </cfRule>
    <cfRule type="expression" priority="3" aboveAverage="0" equalAverage="0" bottom="0" percent="0" rank="0" text="" dxfId="12">
      <formula>LEFT($I5,3)="Cob"</formula>
    </cfRule>
    <cfRule type="expression" priority="4" aboveAverage="0" equalAverage="0" bottom="0" percent="0" rank="0" text="" dxfId="15">
      <formula>$I5="Sin recursos nacionales"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5" min="3" style="0" width="14"/>
    <col collapsed="false" customWidth="true" hidden="false" outlineLevel="0" max="6" min="6" style="0" width="30"/>
  </cols>
  <sheetData>
    <row r="1" customFormat="false" ht="19.7" hidden="false" customHeight="false" outlineLevel="0" collapsed="false">
      <c r="A1" s="1" t="s">
        <v>1505</v>
      </c>
    </row>
    <row r="2" customFormat="false" ht="15" hidden="false" customHeight="false" outlineLevel="0" collapsed="false">
      <c r="A2" s="2" t="s">
        <v>1506</v>
      </c>
    </row>
    <row r="4" customFormat="false" ht="31.5" hidden="false" customHeight="true" outlineLevel="0" collapsed="false">
      <c r="A4" s="5" t="s">
        <v>1457</v>
      </c>
      <c r="B4" s="5" t="s">
        <v>1507</v>
      </c>
      <c r="C4" s="5" t="s">
        <v>1508</v>
      </c>
      <c r="D4" s="5" t="s">
        <v>1509</v>
      </c>
      <c r="E4" s="5" t="s">
        <v>1465</v>
      </c>
      <c r="F4" s="5" t="s">
        <v>1469</v>
      </c>
    </row>
    <row r="5" customFormat="false" ht="15" hidden="false" customHeight="false" outlineLevel="0" collapsed="false">
      <c r="A5" s="10" t="str">
        <f aca="false">Enfoques!A2</f>
        <v>E01</v>
      </c>
      <c r="B5" s="10" t="str">
        <f aca="false">Enfoques!C2</f>
        <v>Género</v>
      </c>
      <c r="C5" s="10" t="n">
        <f aca="false">COUNTIFS(Inventario!$P$2:$P$1000,"*"&amp;A5&amp;"*",Inventario!$D$2:$D$1000,"&lt;&gt;Internacional")</f>
        <v>8</v>
      </c>
      <c r="D5" s="10" t="n">
        <f aca="false">COUNTIFS(Inventario!$P$2:$P$1000,"*"&amp;A5&amp;"*",Inventario!$D$2:$D$1000,"&lt;&gt;Internacional",Inventario!$Q$2:$Q$1000,"4*")</f>
        <v>4</v>
      </c>
      <c r="E5" s="10" t="n">
        <f aca="false">COUNTIFS(Inventario!$P$2:$P$1000,"*"&amp;A5&amp;"*",Inventario!$D$2:$D$1000,"Internacional")</f>
        <v>1</v>
      </c>
      <c r="F5" s="10" t="str">
        <f aca="false">IF(C5=0,"Sin cobertura",IF(D5=0,"Cobertura sin análisis","Cobertura con análisis"))</f>
        <v>Cobertura con análisis</v>
      </c>
    </row>
    <row r="6" customFormat="false" ht="15" hidden="false" customHeight="false" outlineLevel="0" collapsed="false">
      <c r="A6" s="10" t="str">
        <f aca="false">Enfoques!A3</f>
        <v>E02</v>
      </c>
      <c r="B6" s="10" t="str">
        <f aca="false">Enfoques!C3</f>
        <v>Infancia y adolescencia</v>
      </c>
      <c r="C6" s="10" t="n">
        <f aca="false">COUNTIFS(Inventario!$P$2:$P$1000,"*"&amp;A6&amp;"*",Inventario!$D$2:$D$1000,"&lt;&gt;Internacional")</f>
        <v>5</v>
      </c>
      <c r="D6" s="10" t="n">
        <f aca="false">COUNTIFS(Inventario!$P$2:$P$1000,"*"&amp;A6&amp;"*",Inventario!$D$2:$D$1000,"&lt;&gt;Internacional",Inventario!$Q$2:$Q$1000,"4*")</f>
        <v>3</v>
      </c>
      <c r="E6" s="10" t="n">
        <f aca="false">COUNTIFS(Inventario!$P$2:$P$1000,"*"&amp;A6&amp;"*",Inventario!$D$2:$D$1000,"Internacional")</f>
        <v>0</v>
      </c>
      <c r="F6" s="10" t="str">
        <f aca="false">IF(C6=0,"Sin cobertura",IF(D6=0,"Cobertura sin análisis","Cobertura con análisis"))</f>
        <v>Cobertura con análisis</v>
      </c>
    </row>
    <row r="7" customFormat="false" ht="15" hidden="false" customHeight="false" outlineLevel="0" collapsed="false">
      <c r="A7" s="10" t="str">
        <f aca="false">Enfoques!A4</f>
        <v>E03</v>
      </c>
      <c r="B7" s="10" t="str">
        <f aca="false">Enfoques!C4</f>
        <v>Juventud</v>
      </c>
      <c r="C7" s="10" t="n">
        <f aca="false">COUNTIFS(Inventario!$P$2:$P$1000,"*"&amp;A7&amp;"*",Inventario!$D$2:$D$1000,"&lt;&gt;Internacional")</f>
        <v>0</v>
      </c>
      <c r="D7" s="10" t="n">
        <f aca="false">COUNTIFS(Inventario!$P$2:$P$1000,"*"&amp;A7&amp;"*",Inventario!$D$2:$D$1000,"&lt;&gt;Internacional",Inventario!$Q$2:$Q$1000,"4*")</f>
        <v>0</v>
      </c>
      <c r="E7" s="10" t="n">
        <f aca="false">COUNTIFS(Inventario!$P$2:$P$1000,"*"&amp;A7&amp;"*",Inventario!$D$2:$D$1000,"Internacional")</f>
        <v>0</v>
      </c>
      <c r="F7" s="10" t="str">
        <f aca="false">IF(C7=0,"Sin cobertura",IF(D7=0,"Cobertura sin análisis","Cobertura con análisis"))</f>
        <v>Sin cobertura</v>
      </c>
    </row>
    <row r="8" customFormat="false" ht="15" hidden="false" customHeight="false" outlineLevel="0" collapsed="false">
      <c r="A8" s="10" t="str">
        <f aca="false">Enfoques!A5</f>
        <v>E04</v>
      </c>
      <c r="B8" s="10" t="str">
        <f aca="false">Enfoques!C5</f>
        <v>Personas mayores y envejecimiento</v>
      </c>
      <c r="C8" s="10" t="n">
        <f aca="false">COUNTIFS(Inventario!$P$2:$P$1000,"*"&amp;A8&amp;"*",Inventario!$D$2:$D$1000,"&lt;&gt;Internacional")</f>
        <v>3</v>
      </c>
      <c r="D8" s="10" t="n">
        <f aca="false">COUNTIFS(Inventario!$P$2:$P$1000,"*"&amp;A8&amp;"*",Inventario!$D$2:$D$1000,"&lt;&gt;Internacional",Inventario!$Q$2:$Q$1000,"4*")</f>
        <v>2</v>
      </c>
      <c r="E8" s="10" t="n">
        <f aca="false">COUNTIFS(Inventario!$P$2:$P$1000,"*"&amp;A8&amp;"*",Inventario!$D$2:$D$1000,"Internacional")</f>
        <v>0</v>
      </c>
      <c r="F8" s="10" t="str">
        <f aca="false">IF(C8=0,"Sin cobertura",IF(D8=0,"Cobertura sin análisis","Cobertura con análisis"))</f>
        <v>Cobertura con análisis</v>
      </c>
    </row>
    <row r="9" customFormat="false" ht="15" hidden="false" customHeight="false" outlineLevel="0" collapsed="false">
      <c r="A9" s="10" t="str">
        <f aca="false">Enfoques!A6</f>
        <v>E05</v>
      </c>
      <c r="B9" s="10" t="str">
        <f aca="false">Enfoques!C6</f>
        <v>Discapacidad</v>
      </c>
      <c r="C9" s="10" t="n">
        <f aca="false">COUNTIFS(Inventario!$P$2:$P$1000,"*"&amp;A9&amp;"*",Inventario!$D$2:$D$1000,"&lt;&gt;Internacional")</f>
        <v>2</v>
      </c>
      <c r="D9" s="10" t="n">
        <f aca="false">COUNTIFS(Inventario!$P$2:$P$1000,"*"&amp;A9&amp;"*",Inventario!$D$2:$D$1000,"&lt;&gt;Internacional",Inventario!$Q$2:$Q$1000,"4*")</f>
        <v>1</v>
      </c>
      <c r="E9" s="10" t="n">
        <f aca="false">COUNTIFS(Inventario!$P$2:$P$1000,"*"&amp;A9&amp;"*",Inventario!$D$2:$D$1000,"Internacional")</f>
        <v>0</v>
      </c>
      <c r="F9" s="10" t="str">
        <f aca="false">IF(C9=0,"Sin cobertura",IF(D9=0,"Cobertura sin análisis","Cobertura con análisis"))</f>
        <v>Cobertura con análisis</v>
      </c>
    </row>
    <row r="10" customFormat="false" ht="15" hidden="false" customHeight="false" outlineLevel="0" collapsed="false">
      <c r="A10" s="10" t="str">
        <f aca="false">Enfoques!A7</f>
        <v>E06</v>
      </c>
      <c r="B10" s="10" t="str">
        <f aca="false">Enfoques!C7</f>
        <v>Migración</v>
      </c>
      <c r="C10" s="10" t="n">
        <f aca="false">COUNTIFS(Inventario!$P$2:$P$1000,"*"&amp;A10&amp;"*",Inventario!$D$2:$D$1000,"&lt;&gt;Internacional")</f>
        <v>2</v>
      </c>
      <c r="D10" s="10" t="n">
        <f aca="false">COUNTIFS(Inventario!$P$2:$P$1000,"*"&amp;A10&amp;"*",Inventario!$D$2:$D$1000,"&lt;&gt;Internacional",Inventario!$Q$2:$Q$1000,"4*")</f>
        <v>2</v>
      </c>
      <c r="E10" s="10" t="n">
        <f aca="false">COUNTIFS(Inventario!$P$2:$P$1000,"*"&amp;A10&amp;"*",Inventario!$D$2:$D$1000,"Internacional")</f>
        <v>0</v>
      </c>
      <c r="F10" s="10" t="str">
        <f aca="false">IF(C10=0,"Sin cobertura",IF(D10=0,"Cobertura sin análisis","Cobertura con análisis"))</f>
        <v>Cobertura con análisis</v>
      </c>
    </row>
    <row r="11" customFormat="false" ht="15" hidden="false" customHeight="false" outlineLevel="0" collapsed="false">
      <c r="A11" s="10" t="str">
        <f aca="false">Enfoques!A8</f>
        <v>E07</v>
      </c>
      <c r="B11" s="10" t="str">
        <f aca="false">Enfoques!C8</f>
        <v>Afrodescendencia y etnia-raza</v>
      </c>
      <c r="C11" s="10" t="n">
        <f aca="false">COUNTIFS(Inventario!$P$2:$P$1000,"*"&amp;A11&amp;"*",Inventario!$D$2:$D$1000,"&lt;&gt;Internacional")</f>
        <v>0</v>
      </c>
      <c r="D11" s="10" t="n">
        <f aca="false">COUNTIFS(Inventario!$P$2:$P$1000,"*"&amp;A11&amp;"*",Inventario!$D$2:$D$1000,"&lt;&gt;Internacional",Inventario!$Q$2:$Q$1000,"4*")</f>
        <v>0</v>
      </c>
      <c r="E11" s="10" t="n">
        <f aca="false">COUNTIFS(Inventario!$P$2:$P$1000,"*"&amp;A11&amp;"*",Inventario!$D$2:$D$1000,"Internacional")</f>
        <v>0</v>
      </c>
      <c r="F11" s="10" t="str">
        <f aca="false">IF(C11=0,"Sin cobertura",IF(D11=0,"Cobertura sin análisis","Cobertura con análisis"))</f>
        <v>Sin cobertura</v>
      </c>
    </row>
    <row r="12" customFormat="false" ht="15" hidden="false" customHeight="false" outlineLevel="0" collapsed="false">
      <c r="A12" s="10" t="str">
        <f aca="false">Enfoques!A9</f>
        <v>E08</v>
      </c>
      <c r="B12" s="10" t="str">
        <f aca="false">Enfoques!C9</f>
        <v>Enfoque de derechos</v>
      </c>
      <c r="C12" s="10" t="n">
        <f aca="false">COUNTIFS(Inventario!$P$2:$P$1000,"*"&amp;A12&amp;"*",Inventario!$D$2:$D$1000,"&lt;&gt;Internacional")</f>
        <v>9</v>
      </c>
      <c r="D12" s="10" t="n">
        <f aca="false">COUNTIFS(Inventario!$P$2:$P$1000,"*"&amp;A12&amp;"*",Inventario!$D$2:$D$1000,"&lt;&gt;Internacional",Inventario!$Q$2:$Q$1000,"4*")</f>
        <v>8</v>
      </c>
      <c r="E12" s="10" t="n">
        <f aca="false">COUNTIFS(Inventario!$P$2:$P$1000,"*"&amp;A12&amp;"*",Inventario!$D$2:$D$1000,"Internacional")</f>
        <v>0</v>
      </c>
      <c r="F12" s="10" t="str">
        <f aca="false">IF(C12=0,"Sin cobertura",IF(D12=0,"Cobertura sin análisis","Cobertura con análisis"))</f>
        <v>Cobertura con análisis</v>
      </c>
    </row>
    <row r="13" customFormat="false" ht="15" hidden="false" customHeight="false" outlineLevel="0" collapsed="false">
      <c r="A13" s="10" t="str">
        <f aca="false">Enfoques!A10</f>
        <v>E09</v>
      </c>
      <c r="B13" s="10" t="str">
        <f aca="false">Enfoques!C10</f>
        <v>Territorial y subnacional</v>
      </c>
      <c r="C13" s="10" t="n">
        <f aca="false">COUNTIFS(Inventario!$P$2:$P$1000,"*"&amp;A13&amp;"*",Inventario!$D$2:$D$1000,"&lt;&gt;Internacional")</f>
        <v>24</v>
      </c>
      <c r="D13" s="10" t="n">
        <f aca="false">COUNTIFS(Inventario!$P$2:$P$1000,"*"&amp;A13&amp;"*",Inventario!$D$2:$D$1000,"&lt;&gt;Internacional",Inventario!$Q$2:$Q$1000,"4*")</f>
        <v>3</v>
      </c>
      <c r="E13" s="10" t="n">
        <f aca="false">COUNTIFS(Inventario!$P$2:$P$1000,"*"&amp;A13&amp;"*",Inventario!$D$2:$D$1000,"Internacional")</f>
        <v>0</v>
      </c>
      <c r="F13" s="10" t="str">
        <f aca="false">IF(C13=0,"Sin cobertura",IF(D13=0,"Cobertura sin análisis","Cobertura con análisis"))</f>
        <v>Cobertura con análisis</v>
      </c>
    </row>
  </sheetData>
  <conditionalFormatting sqref="F5:F13">
    <cfRule type="expression" priority="2" aboveAverage="0" equalAverage="0" bottom="0" percent="0" rank="0" text="" dxfId="11">
      <formula>$F5="Cobertura con análisis"</formula>
    </cfRule>
    <cfRule type="expression" priority="3" aboveAverage="0" equalAverage="0" bottom="0" percent="0" rank="0" text="" dxfId="12">
      <formula>$F5="Cobertura sin análisis"</formula>
    </cfRule>
    <cfRule type="expression" priority="4" aboveAverage="0" equalAverage="0" bottom="0" percent="0" rank="0" text="" dxfId="15">
      <formula>$F5="Sin cobertura"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5"/>
    <col collapsed="false" customWidth="true" hidden="false" outlineLevel="0" max="4" min="4" style="0" width="40"/>
    <col collapsed="false" customWidth="true" hidden="false" outlineLevel="0" max="8" min="5" style="0" width="15"/>
  </cols>
  <sheetData>
    <row r="1" customFormat="false" ht="19.7" hidden="false" customHeight="false" outlineLevel="0" collapsed="false">
      <c r="A1" s="1" t="s">
        <v>1510</v>
      </c>
    </row>
    <row r="2" customFormat="false" ht="15" hidden="false" customHeight="false" outlineLevel="0" collapsed="false">
      <c r="A2" s="2" t="s">
        <v>1511</v>
      </c>
    </row>
    <row r="4" customFormat="false" ht="15" hidden="false" customHeight="false" outlineLevel="0" collapsed="false">
      <c r="A4" s="14" t="s">
        <v>1512</v>
      </c>
    </row>
    <row r="5" customFormat="false" ht="23.85" hidden="false" customHeight="false" outlineLevel="0" collapsed="false">
      <c r="A5" s="15" t="s">
        <v>39</v>
      </c>
      <c r="B5" s="15" t="s">
        <v>326</v>
      </c>
      <c r="C5" s="15" t="s">
        <v>94</v>
      </c>
      <c r="D5" s="15" t="s">
        <v>177</v>
      </c>
      <c r="E5" s="15" t="s">
        <v>67</v>
      </c>
      <c r="F5" s="15" t="s">
        <v>1504</v>
      </c>
      <c r="G5" s="15" t="s">
        <v>1279</v>
      </c>
    </row>
    <row r="6" customFormat="false" ht="15" hidden="false" customHeight="false" outlineLevel="0" collapsed="false">
      <c r="A6" s="12" t="s">
        <v>1513</v>
      </c>
      <c r="B6" s="12" t="n">
        <f aca="false">COUNTIFS(Inventario!$N$2:$N$1000,$A6,Inventario!$Q$2:$Q$1000,"1*",Inventario!$D$2:$D$1000,"&lt;&gt;Internacional")</f>
        <v>2</v>
      </c>
      <c r="C6" s="12" t="n">
        <f aca="false">COUNTIFS(Inventario!$N$2:$N$1000,$A6,Inventario!$Q$2:$Q$1000,"2*",Inventario!$D$2:$D$1000,"&lt;&gt;Internacional")</f>
        <v>10</v>
      </c>
      <c r="D6" s="12" t="n">
        <f aca="false">COUNTIFS(Inventario!$N$2:$N$1000,$A6,Inventario!$Q$2:$Q$1000,"3*",Inventario!$D$2:$D$1000,"&lt;&gt;Internacional")</f>
        <v>10</v>
      </c>
      <c r="E6" s="12" t="n">
        <f aca="false">COUNTIFS(Inventario!$N$2:$N$1000,$A6,Inventario!$Q$2:$Q$1000,"4*",Inventario!$D$2:$D$1000,"&lt;&gt;Internacional")</f>
        <v>10</v>
      </c>
      <c r="F6" s="3" t="n">
        <f aca="false">SUM(B6:E6)</f>
        <v>32</v>
      </c>
      <c r="G6" s="12" t="n">
        <f aca="false">COUNTIFS(Inventario!$N$2:$N$1000,$A6,Inventario!$D$2:$D$1000,"Internacional")</f>
        <v>4</v>
      </c>
    </row>
    <row r="7" customFormat="false" ht="15" hidden="false" customHeight="false" outlineLevel="0" collapsed="false">
      <c r="A7" s="12" t="s">
        <v>1514</v>
      </c>
      <c r="B7" s="12" t="n">
        <f aca="false">COUNTIFS(Inventario!$N$2:$N$1000,$A7,Inventario!$Q$2:$Q$1000,"1*",Inventario!$D$2:$D$1000,"&lt;&gt;Internacional")</f>
        <v>1</v>
      </c>
      <c r="C7" s="12" t="n">
        <f aca="false">COUNTIFS(Inventario!$N$2:$N$1000,$A7,Inventario!$Q$2:$Q$1000,"2*",Inventario!$D$2:$D$1000,"&lt;&gt;Internacional")</f>
        <v>4</v>
      </c>
      <c r="D7" s="12" t="n">
        <f aca="false">COUNTIFS(Inventario!$N$2:$N$1000,$A7,Inventario!$Q$2:$Q$1000,"3*",Inventario!$D$2:$D$1000,"&lt;&gt;Internacional")</f>
        <v>3</v>
      </c>
      <c r="E7" s="12" t="n">
        <f aca="false">COUNTIFS(Inventario!$N$2:$N$1000,$A7,Inventario!$Q$2:$Q$1000,"4*",Inventario!$D$2:$D$1000,"&lt;&gt;Internacional")</f>
        <v>10</v>
      </c>
      <c r="F7" s="3" t="n">
        <f aca="false">SUM(B7:E7)</f>
        <v>18</v>
      </c>
      <c r="G7" s="12" t="n">
        <f aca="false">COUNTIFS(Inventario!$N$2:$N$1000,$A7,Inventario!$D$2:$D$1000,"Internacional")</f>
        <v>2</v>
      </c>
    </row>
    <row r="8" customFormat="false" ht="15" hidden="false" customHeight="false" outlineLevel="0" collapsed="false">
      <c r="A8" s="12" t="s">
        <v>1515</v>
      </c>
      <c r="B8" s="12" t="n">
        <f aca="false">COUNTIFS(Inventario!$N$2:$N$1000,$A8,Inventario!$Q$2:$Q$1000,"1*",Inventario!$D$2:$D$1000,"&lt;&gt;Internacional")</f>
        <v>1</v>
      </c>
      <c r="C8" s="12" t="n">
        <f aca="false">COUNTIFS(Inventario!$N$2:$N$1000,$A8,Inventario!$Q$2:$Q$1000,"2*",Inventario!$D$2:$D$1000,"&lt;&gt;Internacional")</f>
        <v>5</v>
      </c>
      <c r="D8" s="12" t="n">
        <f aca="false">COUNTIFS(Inventario!$N$2:$N$1000,$A8,Inventario!$Q$2:$Q$1000,"3*",Inventario!$D$2:$D$1000,"&lt;&gt;Internacional")</f>
        <v>2</v>
      </c>
      <c r="E8" s="12" t="n">
        <f aca="false">COUNTIFS(Inventario!$N$2:$N$1000,$A8,Inventario!$Q$2:$Q$1000,"4*",Inventario!$D$2:$D$1000,"&lt;&gt;Internacional")</f>
        <v>6</v>
      </c>
      <c r="F8" s="3" t="n">
        <f aca="false">SUM(B8:E8)</f>
        <v>14</v>
      </c>
      <c r="G8" s="12" t="n">
        <f aca="false">COUNTIFS(Inventario!$N$2:$N$1000,$A8,Inventario!$D$2:$D$1000,"Internacional")</f>
        <v>1</v>
      </c>
    </row>
    <row r="9" customFormat="false" ht="15" hidden="false" customHeight="false" outlineLevel="0" collapsed="false">
      <c r="A9" s="12" t="s">
        <v>1516</v>
      </c>
      <c r="B9" s="12" t="n">
        <f aca="false">COUNTIFS(Inventario!$N$2:$N$1000,$A9,Inventario!$Q$2:$Q$1000,"1*",Inventario!$D$2:$D$1000,"&lt;&gt;Internacional")</f>
        <v>0</v>
      </c>
      <c r="C9" s="12" t="n">
        <f aca="false">COUNTIFS(Inventario!$N$2:$N$1000,$A9,Inventario!$Q$2:$Q$1000,"2*",Inventario!$D$2:$D$1000,"&lt;&gt;Internacional")</f>
        <v>3</v>
      </c>
      <c r="D9" s="12" t="n">
        <f aca="false">COUNTIFS(Inventario!$N$2:$N$1000,$A9,Inventario!$Q$2:$Q$1000,"3*",Inventario!$D$2:$D$1000,"&lt;&gt;Internacional")</f>
        <v>7</v>
      </c>
      <c r="E9" s="12" t="n">
        <f aca="false">COUNTIFS(Inventario!$N$2:$N$1000,$A9,Inventario!$Q$2:$Q$1000,"4*",Inventario!$D$2:$D$1000,"&lt;&gt;Internacional")</f>
        <v>4</v>
      </c>
      <c r="F9" s="3" t="n">
        <f aca="false">SUM(B9:E9)</f>
        <v>14</v>
      </c>
      <c r="G9" s="12" t="n">
        <f aca="false">COUNTIFS(Inventario!$N$2:$N$1000,$A9,Inventario!$D$2:$D$1000,"Internacional")</f>
        <v>0</v>
      </c>
    </row>
    <row r="10" customFormat="false" ht="15" hidden="false" customHeight="false" outlineLevel="0" collapsed="false">
      <c r="A10" s="12" t="s">
        <v>1089</v>
      </c>
      <c r="B10" s="12" t="n">
        <f aca="false">COUNTIFS(Inventario!$N$2:$N$1000,$A10,Inventario!$Q$2:$Q$1000,"1*",Inventario!$D$2:$D$1000,"&lt;&gt;Internacional")</f>
        <v>2</v>
      </c>
      <c r="C10" s="12" t="n">
        <f aca="false">COUNTIFS(Inventario!$N$2:$N$1000,$A10,Inventario!$Q$2:$Q$1000,"2*",Inventario!$D$2:$D$1000,"&lt;&gt;Internacional")</f>
        <v>2</v>
      </c>
      <c r="D10" s="12" t="n">
        <f aca="false">COUNTIFS(Inventario!$N$2:$N$1000,$A10,Inventario!$Q$2:$Q$1000,"3*",Inventario!$D$2:$D$1000,"&lt;&gt;Internacional")</f>
        <v>0</v>
      </c>
      <c r="E10" s="12" t="n">
        <f aca="false">COUNTIFS(Inventario!$N$2:$N$1000,$A10,Inventario!$Q$2:$Q$1000,"4*",Inventario!$D$2:$D$1000,"&lt;&gt;Internacional")</f>
        <v>2</v>
      </c>
      <c r="F10" s="3" t="n">
        <f aca="false">SUM(B10:E10)</f>
        <v>6</v>
      </c>
      <c r="G10" s="12" t="n">
        <f aca="false">COUNTIFS(Inventario!$N$2:$N$1000,$A10,Inventario!$D$2:$D$1000,"Internacional")</f>
        <v>9</v>
      </c>
    </row>
    <row r="11" customFormat="false" ht="15" hidden="false" customHeight="false" outlineLevel="0" collapsed="false">
      <c r="A11" s="12" t="s">
        <v>1517</v>
      </c>
      <c r="B11" s="12" t="n">
        <f aca="false">COUNTIFS(Inventario!$N$2:$N$1000,$A11,Inventario!$Q$2:$Q$1000,"1*",Inventario!$D$2:$D$1000,"&lt;&gt;Internacional")</f>
        <v>4</v>
      </c>
      <c r="C11" s="12" t="n">
        <f aca="false">COUNTIFS(Inventario!$N$2:$N$1000,$A11,Inventario!$Q$2:$Q$1000,"2*",Inventario!$D$2:$D$1000,"&lt;&gt;Internacional")</f>
        <v>1</v>
      </c>
      <c r="D11" s="12" t="n">
        <f aca="false">COUNTIFS(Inventario!$N$2:$N$1000,$A11,Inventario!$Q$2:$Q$1000,"3*",Inventario!$D$2:$D$1000,"&lt;&gt;Internacional")</f>
        <v>15</v>
      </c>
      <c r="E11" s="12" t="n">
        <f aca="false">COUNTIFS(Inventario!$N$2:$N$1000,$A11,Inventario!$Q$2:$Q$1000,"4*",Inventario!$D$2:$D$1000,"&lt;&gt;Internacional")</f>
        <v>4</v>
      </c>
      <c r="F11" s="3" t="n">
        <f aca="false">SUM(B11:E11)</f>
        <v>24</v>
      </c>
      <c r="G11" s="12" t="n">
        <f aca="false">COUNTIFS(Inventario!$N$2:$N$1000,$A11,Inventario!$D$2:$D$1000,"Internacional")</f>
        <v>1</v>
      </c>
    </row>
    <row r="12" customFormat="false" ht="15" hidden="false" customHeight="false" outlineLevel="0" collapsed="false">
      <c r="A12" s="12" t="s">
        <v>1518</v>
      </c>
      <c r="B12" s="12" t="n">
        <f aca="false">COUNTIFS(Inventario!$N$2:$N$1000,$A12,Inventario!$Q$2:$Q$1000,"1*",Inventario!$D$2:$D$1000,"&lt;&gt;Internacional")</f>
        <v>0</v>
      </c>
      <c r="C12" s="12" t="n">
        <f aca="false">COUNTIFS(Inventario!$N$2:$N$1000,$A12,Inventario!$Q$2:$Q$1000,"2*",Inventario!$D$2:$D$1000,"&lt;&gt;Internacional")</f>
        <v>0</v>
      </c>
      <c r="D12" s="12" t="n">
        <f aca="false">COUNTIFS(Inventario!$N$2:$N$1000,$A12,Inventario!$Q$2:$Q$1000,"3*",Inventario!$D$2:$D$1000,"&lt;&gt;Internacional")</f>
        <v>15</v>
      </c>
      <c r="E12" s="12" t="n">
        <f aca="false">COUNTIFS(Inventario!$N$2:$N$1000,$A12,Inventario!$Q$2:$Q$1000,"4*",Inventario!$D$2:$D$1000,"&lt;&gt;Internacional")</f>
        <v>2</v>
      </c>
      <c r="F12" s="3" t="n">
        <f aca="false">SUM(B12:E12)</f>
        <v>17</v>
      </c>
      <c r="G12" s="12" t="n">
        <f aca="false">COUNTIFS(Inventario!$N$2:$N$1000,$A12,Inventario!$D$2:$D$1000,"Internacional")</f>
        <v>0</v>
      </c>
    </row>
    <row r="13" customFormat="false" ht="15" hidden="false" customHeight="false" outlineLevel="0" collapsed="false">
      <c r="A13" s="12" t="s">
        <v>1519</v>
      </c>
      <c r="B13" s="12" t="n">
        <f aca="false">COUNTIFS(Inventario!$N$2:$N$1000,$A13,Inventario!$Q$2:$Q$1000,"1*",Inventario!$D$2:$D$1000,"&lt;&gt;Internacional")</f>
        <v>5</v>
      </c>
      <c r="C13" s="12" t="n">
        <f aca="false">COUNTIFS(Inventario!$N$2:$N$1000,$A13,Inventario!$Q$2:$Q$1000,"2*",Inventario!$D$2:$D$1000,"&lt;&gt;Internacional")</f>
        <v>4</v>
      </c>
      <c r="D13" s="12" t="n">
        <f aca="false">COUNTIFS(Inventario!$N$2:$N$1000,$A13,Inventario!$Q$2:$Q$1000,"3*",Inventario!$D$2:$D$1000,"&lt;&gt;Internacional")</f>
        <v>8</v>
      </c>
      <c r="E13" s="12" t="n">
        <f aca="false">COUNTIFS(Inventario!$N$2:$N$1000,$A13,Inventario!$Q$2:$Q$1000,"4*",Inventario!$D$2:$D$1000,"&lt;&gt;Internacional")</f>
        <v>6</v>
      </c>
      <c r="F13" s="3" t="n">
        <f aca="false">SUM(B13:E13)</f>
        <v>23</v>
      </c>
      <c r="G13" s="12" t="n">
        <f aca="false">COUNTIFS(Inventario!$N$2:$N$1000,$A13,Inventario!$D$2:$D$1000,"Internacional")</f>
        <v>5</v>
      </c>
    </row>
    <row r="14" customFormat="false" ht="15" hidden="false" customHeight="false" outlineLevel="0" collapsed="false">
      <c r="A14" s="3" t="s">
        <v>1504</v>
      </c>
      <c r="B14" s="3" t="n">
        <f aca="false">SUM(B6:B13)</f>
        <v>15</v>
      </c>
      <c r="C14" s="3" t="n">
        <f aca="false">SUM(C6:C13)</f>
        <v>29</v>
      </c>
      <c r="D14" s="3" t="n">
        <f aca="false">SUM(D6:D13)</f>
        <v>60</v>
      </c>
      <c r="E14" s="3" t="n">
        <f aca="false">SUM(E6:E13)</f>
        <v>44</v>
      </c>
      <c r="F14" s="3" t="n">
        <f aca="false">SUM(F6:F13)</f>
        <v>148</v>
      </c>
      <c r="G14" s="3" t="n">
        <f aca="false">SUM(G6:G13)</f>
        <v>22</v>
      </c>
    </row>
    <row r="17" customFormat="false" ht="15" hidden="false" customHeight="false" outlineLevel="0" collapsed="false">
      <c r="A17" s="14" t="s">
        <v>29</v>
      </c>
    </row>
    <row r="18" customFormat="false" ht="15" hidden="false" customHeight="false" outlineLevel="0" collapsed="false">
      <c r="A18" s="16" t="s">
        <v>29</v>
      </c>
      <c r="B18" s="16" t="s">
        <v>1520</v>
      </c>
      <c r="C18" s="16" t="s">
        <v>1464</v>
      </c>
      <c r="D18" s="16" t="s">
        <v>1521</v>
      </c>
    </row>
    <row r="19" customFormat="false" ht="15" hidden="false" customHeight="false" outlineLevel="0" collapsed="false">
      <c r="A19" s="12" t="s">
        <v>60</v>
      </c>
      <c r="B19" s="12" t="n">
        <f aca="false">COUNTIF(Inventario!$D$2:$D$1000,A19)</f>
        <v>129</v>
      </c>
      <c r="C19" s="12" t="n">
        <f aca="false">COUNTIFS(Inventario!$D$2:$D$1000,A19,Inventario!$W$2:$W$1000,"Sí")</f>
        <v>45</v>
      </c>
      <c r="D19" s="17" t="n">
        <f aca="false">IF(B19=0,0,C19/B19)</f>
        <v>0.348837209302326</v>
      </c>
    </row>
    <row r="20" customFormat="false" ht="15" hidden="false" customHeight="false" outlineLevel="0" collapsed="false">
      <c r="A20" s="12" t="s">
        <v>286</v>
      </c>
      <c r="B20" s="12" t="n">
        <f aca="false">COUNTIF(Inventario!$D$2:$D$1000,A20)</f>
        <v>19</v>
      </c>
      <c r="C20" s="12" t="n">
        <f aca="false">COUNTIFS(Inventario!$D$2:$D$1000,A20,Inventario!$W$2:$W$1000,"Sí")</f>
        <v>1</v>
      </c>
      <c r="D20" s="17" t="n">
        <f aca="false">IF(B20=0,0,C20/B20)</f>
        <v>0.0526315789473684</v>
      </c>
    </row>
    <row r="21" customFormat="false" ht="15" hidden="false" customHeight="false" outlineLevel="0" collapsed="false">
      <c r="A21" s="12" t="s">
        <v>1279</v>
      </c>
      <c r="B21" s="12" t="n">
        <f aca="false">COUNTIF(Inventario!$D$2:$D$1000,A21)</f>
        <v>22</v>
      </c>
      <c r="C21" s="12" t="n">
        <f aca="false">COUNTIFS(Inventario!$D$2:$D$1000,A21,Inventario!$W$2:$W$1000,"Sí")</f>
        <v>3</v>
      </c>
      <c r="D21" s="17" t="n">
        <f aca="false">IF(B21=0,0,C21/B21)</f>
        <v>0.136363636363636</v>
      </c>
    </row>
    <row r="22" customFormat="false" ht="15" hidden="false" customHeight="false" outlineLevel="0" collapsed="false">
      <c r="A22" s="3" t="s">
        <v>1504</v>
      </c>
      <c r="B22" s="3" t="n">
        <f aca="false">SUM(B19:B21)</f>
        <v>170</v>
      </c>
      <c r="C22" s="3" t="n">
        <f aca="false">SUM(C19:C21)</f>
        <v>49</v>
      </c>
      <c r="D22" s="18" t="n">
        <f aca="false">IF(B22=0,0,C22/B22)</f>
        <v>0.288235294117647</v>
      </c>
    </row>
    <row r="25" customFormat="false" ht="15" hidden="false" customHeight="false" outlineLevel="0" collapsed="false">
      <c r="A25" s="14" t="s">
        <v>31</v>
      </c>
      <c r="D25" s="14" t="s">
        <v>1522</v>
      </c>
    </row>
    <row r="26" customFormat="false" ht="15" hidden="false" customHeight="false" outlineLevel="0" collapsed="false">
      <c r="A26" s="16" t="s">
        <v>1523</v>
      </c>
      <c r="B26" s="16" t="s">
        <v>1520</v>
      </c>
      <c r="D26" s="16" t="s">
        <v>1524</v>
      </c>
      <c r="E26" s="16" t="s">
        <v>1520</v>
      </c>
    </row>
    <row r="27" customFormat="false" ht="15" hidden="false" customHeight="false" outlineLevel="0" collapsed="false">
      <c r="A27" s="12" t="s">
        <v>242</v>
      </c>
      <c r="B27" s="12" t="n">
        <f aca="false">COUNTIF(Inventario!$F$2:$F$1000,A27)</f>
        <v>35</v>
      </c>
      <c r="D27" s="12" t="s">
        <v>285</v>
      </c>
      <c r="E27" s="12" t="n">
        <f aca="false">COUNTIF(Inventario!$C$2:$C$1000,D27)</f>
        <v>15</v>
      </c>
    </row>
    <row r="28" customFormat="false" ht="15" hidden="false" customHeight="false" outlineLevel="0" collapsed="false">
      <c r="A28" s="12" t="s">
        <v>79</v>
      </c>
      <c r="B28" s="12" t="n">
        <f aca="false">COUNTIF(Inventario!$F$2:$F$1000,A28)</f>
        <v>22</v>
      </c>
      <c r="D28" s="12" t="s">
        <v>839</v>
      </c>
      <c r="E28" s="12" t="n">
        <f aca="false">COUNTIF(Inventario!$C$2:$C$1000,D28)</f>
        <v>5</v>
      </c>
    </row>
    <row r="29" customFormat="false" ht="15" hidden="false" customHeight="false" outlineLevel="0" collapsed="false">
      <c r="A29" s="12" t="s">
        <v>212</v>
      </c>
      <c r="B29" s="12" t="n">
        <f aca="false">COUNTIF(Inventario!$F$2:$F$1000,A29)</f>
        <v>20</v>
      </c>
      <c r="D29" s="12" t="s">
        <v>77</v>
      </c>
      <c r="E29" s="12" t="n">
        <f aca="false">COUNTIF(Inventario!$C$2:$C$1000,D29)</f>
        <v>4</v>
      </c>
    </row>
    <row r="30" customFormat="false" ht="15" hidden="false" customHeight="false" outlineLevel="0" collapsed="false">
      <c r="A30" s="12" t="s">
        <v>344</v>
      </c>
      <c r="B30" s="12" t="n">
        <f aca="false">COUNTIF(Inventario!$F$2:$F$1000,A30)</f>
        <v>19</v>
      </c>
      <c r="D30" s="12" t="s">
        <v>691</v>
      </c>
      <c r="E30" s="12" t="n">
        <f aca="false">COUNTIF(Inventario!$C$2:$C$1000,D30)</f>
        <v>4</v>
      </c>
    </row>
    <row r="31" customFormat="false" ht="15" hidden="false" customHeight="false" outlineLevel="0" collapsed="false">
      <c r="A31" s="12" t="s">
        <v>196</v>
      </c>
      <c r="B31" s="12" t="n">
        <f aca="false">COUNTIF(Inventario!$F$2:$F$1000,A31)</f>
        <v>14</v>
      </c>
      <c r="D31" s="12" t="s">
        <v>1101</v>
      </c>
      <c r="E31" s="12" t="n">
        <f aca="false">COUNTIF(Inventario!$C$2:$C$1000,D31)</f>
        <v>4</v>
      </c>
    </row>
    <row r="32" customFormat="false" ht="15" hidden="false" customHeight="false" outlineLevel="0" collapsed="false">
      <c r="A32" s="12" t="s">
        <v>62</v>
      </c>
      <c r="B32" s="12" t="n">
        <f aca="false">COUNTIF(Inventario!$F$2:$F$1000,A32)</f>
        <v>12</v>
      </c>
      <c r="D32" s="12" t="s">
        <v>194</v>
      </c>
      <c r="E32" s="12" t="n">
        <f aca="false">COUNTIF(Inventario!$C$2:$C$1000,D32)</f>
        <v>3</v>
      </c>
    </row>
    <row r="33" customFormat="false" ht="15" hidden="false" customHeight="false" outlineLevel="0" collapsed="false">
      <c r="A33" s="12" t="s">
        <v>323</v>
      </c>
      <c r="B33" s="12" t="n">
        <f aca="false">COUNTIF(Inventario!$F$2:$F$1000,A33)</f>
        <v>10</v>
      </c>
      <c r="D33" s="12" t="s">
        <v>395</v>
      </c>
      <c r="E33" s="12" t="n">
        <f aca="false">COUNTIF(Inventario!$C$2:$C$1000,D33)</f>
        <v>3</v>
      </c>
    </row>
    <row r="34" customFormat="false" ht="15" hidden="false" customHeight="false" outlineLevel="0" collapsed="false">
      <c r="A34" s="12" t="s">
        <v>174</v>
      </c>
      <c r="B34" s="12" t="n">
        <f aca="false">COUNTIF(Inventario!$F$2:$F$1000,A34)</f>
        <v>6</v>
      </c>
      <c r="D34" s="12" t="s">
        <v>680</v>
      </c>
      <c r="E34" s="12" t="n">
        <f aca="false">COUNTIF(Inventario!$C$2:$C$1000,D34)</f>
        <v>3</v>
      </c>
    </row>
    <row r="35" customFormat="false" ht="15" hidden="false" customHeight="false" outlineLevel="0" collapsed="false">
      <c r="A35" s="12" t="s">
        <v>702</v>
      </c>
      <c r="B35" s="12" t="n">
        <f aca="false">COUNTIF(Inventario!$F$2:$F$1000,A35)</f>
        <v>6</v>
      </c>
      <c r="D35" s="12" t="s">
        <v>701</v>
      </c>
      <c r="E35" s="12" t="n">
        <f aca="false">COUNTIF(Inventario!$C$2:$C$1000,D35)</f>
        <v>3</v>
      </c>
    </row>
    <row r="36" customFormat="false" ht="15" hidden="false" customHeight="false" outlineLevel="0" collapsed="false">
      <c r="A36" s="12" t="s">
        <v>1281</v>
      </c>
      <c r="B36" s="12" t="n">
        <f aca="false">COUNTIF(Inventario!$F$2:$F$1000,A36)</f>
        <v>5</v>
      </c>
      <c r="D36" s="12" t="s">
        <v>872</v>
      </c>
      <c r="E36" s="12" t="n">
        <f aca="false">COUNTIF(Inventario!$C$2:$C$1000,D36)</f>
        <v>3</v>
      </c>
    </row>
    <row r="37" customFormat="false" ht="15" hidden="false" customHeight="false" outlineLevel="0" collapsed="false">
      <c r="A37" s="12" t="s">
        <v>406</v>
      </c>
      <c r="B37" s="12" t="n">
        <f aca="false">COUNTIF(Inventario!$F$2:$F$1000,A37)</f>
        <v>4</v>
      </c>
      <c r="D37" s="12" t="s">
        <v>1033</v>
      </c>
      <c r="E37" s="12" t="n">
        <f aca="false">COUNTIF(Inventario!$C$2:$C$1000,D37)</f>
        <v>3</v>
      </c>
    </row>
    <row r="38" customFormat="false" ht="15" hidden="false" customHeight="false" outlineLevel="0" collapsed="false">
      <c r="A38" s="12" t="s">
        <v>1294</v>
      </c>
      <c r="B38" s="12" t="n">
        <f aca="false">COUNTIF(Inventario!$F$2:$F$1000,A38)</f>
        <v>4</v>
      </c>
      <c r="D38" s="12" t="s">
        <v>322</v>
      </c>
      <c r="E38" s="12" t="n">
        <f aca="false">COUNTIF(Inventario!$C$2:$C$1000,D38)</f>
        <v>2</v>
      </c>
    </row>
    <row r="39" customFormat="false" ht="15" hidden="false" customHeight="false" outlineLevel="0" collapsed="false">
      <c r="A39" s="12" t="s">
        <v>579</v>
      </c>
      <c r="B39" s="12" t="n">
        <f aca="false">COUNTIF(Inventario!$F$2:$F$1000,A39)</f>
        <v>3</v>
      </c>
      <c r="D39" s="12" t="s">
        <v>435</v>
      </c>
      <c r="E39" s="12" t="n">
        <f aca="false">COUNTIF(Inventario!$C$2:$C$1000,D39)</f>
        <v>2</v>
      </c>
    </row>
    <row r="40" customFormat="false" ht="15" hidden="false" customHeight="false" outlineLevel="0" collapsed="false">
      <c r="A40" s="12" t="s">
        <v>672</v>
      </c>
      <c r="B40" s="12" t="n">
        <f aca="false">COUNTIF(Inventario!$F$2:$F$1000,A40)</f>
        <v>3</v>
      </c>
      <c r="D40" s="12" t="s">
        <v>483</v>
      </c>
      <c r="E40" s="12" t="n">
        <f aca="false">COUNTIF(Inventario!$C$2:$C$1000,D40)</f>
        <v>2</v>
      </c>
    </row>
    <row r="41" customFormat="false" ht="15" hidden="false" customHeight="false" outlineLevel="0" collapsed="false">
      <c r="A41" s="12" t="s">
        <v>1102</v>
      </c>
      <c r="B41" s="12" t="n">
        <f aca="false">COUNTIF(Inventario!$F$2:$F$1000,A41)</f>
        <v>3</v>
      </c>
      <c r="D41" s="12" t="s">
        <v>510</v>
      </c>
      <c r="E41" s="12" t="n">
        <f aca="false">COUNTIF(Inventario!$C$2:$C$1000,D41)</f>
        <v>2</v>
      </c>
    </row>
    <row r="42" customFormat="false" ht="15" hidden="false" customHeight="false" outlineLevel="0" collapsed="false">
      <c r="A42" s="12" t="s">
        <v>1070</v>
      </c>
      <c r="B42" s="12" t="n">
        <f aca="false">COUNTIF(Inventario!$F$2:$F$1000,A42)</f>
        <v>2</v>
      </c>
    </row>
    <row r="43" customFormat="false" ht="15" hidden="false" customHeight="false" outlineLevel="0" collapsed="false">
      <c r="A43" s="12" t="s">
        <v>373</v>
      </c>
      <c r="B43" s="12" t="n">
        <f aca="false">COUNTIF(Inventario!$F$2:$F$1000,A43)</f>
        <v>1</v>
      </c>
    </row>
    <row r="44" customFormat="false" ht="15" hidden="false" customHeight="false" outlineLevel="0" collapsed="false">
      <c r="A44" s="12" t="s">
        <v>418</v>
      </c>
      <c r="B44" s="12" t="n">
        <f aca="false">COUNTIF(Inventario!$F$2:$F$1000,A44)</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9"/>
    <col collapsed="false" customWidth="true" hidden="false" outlineLevel="0" max="4" min="4" style="0" width="30"/>
    <col collapsed="false" customWidth="true" hidden="false" outlineLevel="0" max="5" min="5" style="0" width="42"/>
    <col collapsed="false" customWidth="true" hidden="false" outlineLevel="0" max="6" min="6" style="0" width="9"/>
    <col collapsed="false" customWidth="true" hidden="false" outlineLevel="0" max="7" min="7" style="0" width="34"/>
    <col collapsed="false" customWidth="true" hidden="false" outlineLevel="0" max="8" min="8" style="0" width="18"/>
    <col collapsed="false" customWidth="true" hidden="false" outlineLevel="0" max="9" min="9" style="0" width="80"/>
    <col collapsed="false" customWidth="true" hidden="false" outlineLevel="0" max="10" min="10" style="0" width="24"/>
    <col collapsed="false" customWidth="true" hidden="false" outlineLevel="0" max="12" min="12" style="0" width="12"/>
    <col collapsed="false" customWidth="true" hidden="false" outlineLevel="0" max="13" min="13" style="0" width="32"/>
  </cols>
  <sheetData>
    <row r="1" customFormat="false" ht="31.5" hidden="false" customHeight="true" outlineLevel="0" collapsed="false">
      <c r="A1" s="5" t="s">
        <v>1457</v>
      </c>
      <c r="B1" s="5" t="s">
        <v>1525</v>
      </c>
      <c r="C1" s="5" t="s">
        <v>1526</v>
      </c>
      <c r="D1" s="5" t="s">
        <v>39</v>
      </c>
      <c r="E1" s="5" t="s">
        <v>1458</v>
      </c>
      <c r="F1" s="5" t="s">
        <v>40</v>
      </c>
      <c r="G1" s="5" t="s">
        <v>1527</v>
      </c>
      <c r="H1" s="5" t="s">
        <v>1528</v>
      </c>
      <c r="I1" s="5" t="s">
        <v>1529</v>
      </c>
      <c r="J1" s="5" t="s">
        <v>1530</v>
      </c>
      <c r="L1" s="16" t="s">
        <v>1531</v>
      </c>
      <c r="M1" s="16" t="s">
        <v>39</v>
      </c>
    </row>
    <row r="2" customFormat="false" ht="23.85" hidden="false" customHeight="false" outlineLevel="0" collapsed="false">
      <c r="A2" s="6" t="s">
        <v>66</v>
      </c>
      <c r="B2" s="6" t="s">
        <v>139</v>
      </c>
      <c r="C2" s="6" t="s">
        <v>1532</v>
      </c>
      <c r="D2" s="6" t="s">
        <v>1513</v>
      </c>
      <c r="E2" s="6" t="s">
        <v>1533</v>
      </c>
      <c r="F2" s="6" t="n">
        <v>8</v>
      </c>
      <c r="G2" s="6" t="s">
        <v>1494</v>
      </c>
      <c r="H2" s="6" t="s">
        <v>1534</v>
      </c>
      <c r="I2" s="4" t="s">
        <v>1535</v>
      </c>
      <c r="J2" s="6" t="s">
        <v>1536</v>
      </c>
      <c r="L2" s="12" t="s">
        <v>1532</v>
      </c>
      <c r="M2" s="12" t="s">
        <v>1513</v>
      </c>
    </row>
    <row r="3" customFormat="false" ht="23.85" hidden="false" customHeight="false" outlineLevel="0" collapsed="false">
      <c r="A3" s="6" t="s">
        <v>881</v>
      </c>
      <c r="B3" s="6" t="s">
        <v>102</v>
      </c>
      <c r="C3" s="6" t="s">
        <v>1532</v>
      </c>
      <c r="D3" s="6" t="s">
        <v>1513</v>
      </c>
      <c r="E3" s="6" t="s">
        <v>1537</v>
      </c>
      <c r="F3" s="6" t="n">
        <v>17</v>
      </c>
      <c r="G3" s="6" t="s">
        <v>1503</v>
      </c>
      <c r="H3" s="6" t="s">
        <v>1538</v>
      </c>
      <c r="I3" s="4" t="s">
        <v>1539</v>
      </c>
      <c r="J3" s="6" t="s">
        <v>1540</v>
      </c>
      <c r="L3" s="12" t="s">
        <v>1541</v>
      </c>
      <c r="M3" s="12" t="s">
        <v>1514</v>
      </c>
    </row>
    <row r="4" customFormat="false" ht="23.85" hidden="false" customHeight="false" outlineLevel="0" collapsed="false">
      <c r="A4" s="6" t="s">
        <v>93</v>
      </c>
      <c r="B4" s="6" t="s">
        <v>82</v>
      </c>
      <c r="C4" s="6" t="s">
        <v>1532</v>
      </c>
      <c r="D4" s="6" t="s">
        <v>1513</v>
      </c>
      <c r="E4" s="6" t="s">
        <v>1542</v>
      </c>
      <c r="F4" s="6" t="n">
        <v>17</v>
      </c>
      <c r="G4" s="6" t="s">
        <v>1503</v>
      </c>
      <c r="H4" s="6" t="s">
        <v>1543</v>
      </c>
      <c r="I4" s="4" t="s">
        <v>1544</v>
      </c>
      <c r="J4" s="6" t="s">
        <v>1545</v>
      </c>
      <c r="L4" s="12" t="s">
        <v>1546</v>
      </c>
      <c r="M4" s="12" t="s">
        <v>1515</v>
      </c>
    </row>
    <row r="5" customFormat="false" ht="23.85" hidden="false" customHeight="false" outlineLevel="0" collapsed="false">
      <c r="A5" s="6" t="s">
        <v>706</v>
      </c>
      <c r="B5" s="6" t="s">
        <v>65</v>
      </c>
      <c r="C5" s="6" t="s">
        <v>1532</v>
      </c>
      <c r="D5" s="6" t="s">
        <v>1513</v>
      </c>
      <c r="E5" s="6" t="s">
        <v>1547</v>
      </c>
      <c r="F5" s="6" t="n">
        <v>2</v>
      </c>
      <c r="G5" s="6" t="s">
        <v>1488</v>
      </c>
      <c r="H5" s="6" t="s">
        <v>1548</v>
      </c>
      <c r="I5" s="4" t="s">
        <v>1549</v>
      </c>
      <c r="J5" s="6" t="s">
        <v>1550</v>
      </c>
      <c r="L5" s="12" t="s">
        <v>1551</v>
      </c>
      <c r="M5" s="12" t="s">
        <v>1516</v>
      </c>
    </row>
    <row r="6" customFormat="false" ht="15" hidden="false" customHeight="false" outlineLevel="0" collapsed="false">
      <c r="A6" s="6" t="s">
        <v>1552</v>
      </c>
      <c r="B6" s="6" t="s">
        <v>233</v>
      </c>
      <c r="C6" s="6" t="s">
        <v>1532</v>
      </c>
      <c r="D6" s="6" t="s">
        <v>1513</v>
      </c>
      <c r="E6" s="6" t="s">
        <v>1553</v>
      </c>
      <c r="F6" s="6" t="n">
        <v>9</v>
      </c>
      <c r="G6" s="6" t="s">
        <v>1495</v>
      </c>
      <c r="H6" s="6" t="s">
        <v>1554</v>
      </c>
      <c r="I6" s="4" t="s">
        <v>1555</v>
      </c>
      <c r="J6" s="6" t="s">
        <v>1556</v>
      </c>
      <c r="L6" s="12" t="s">
        <v>1557</v>
      </c>
      <c r="M6" s="12" t="s">
        <v>1089</v>
      </c>
    </row>
    <row r="7" customFormat="false" ht="15" hidden="false" customHeight="false" outlineLevel="0" collapsed="false">
      <c r="A7" s="6" t="s">
        <v>1558</v>
      </c>
      <c r="B7" s="6" t="s">
        <v>291</v>
      </c>
      <c r="C7" s="6" t="s">
        <v>1532</v>
      </c>
      <c r="D7" s="6" t="s">
        <v>1513</v>
      </c>
      <c r="E7" s="6" t="s">
        <v>1559</v>
      </c>
      <c r="F7" s="6" t="n">
        <v>8</v>
      </c>
      <c r="G7" s="6" t="s">
        <v>1494</v>
      </c>
      <c r="H7" s="6" t="s">
        <v>1560</v>
      </c>
      <c r="I7" s="4" t="s">
        <v>1561</v>
      </c>
      <c r="J7" s="6" t="s">
        <v>1562</v>
      </c>
      <c r="L7" s="12" t="s">
        <v>1563</v>
      </c>
      <c r="M7" s="12" t="s">
        <v>1517</v>
      </c>
    </row>
    <row r="8" customFormat="false" ht="23.85" hidden="false" customHeight="false" outlineLevel="0" collapsed="false">
      <c r="A8" s="6" t="s">
        <v>83</v>
      </c>
      <c r="B8" s="6" t="s">
        <v>222</v>
      </c>
      <c r="C8" s="6" t="s">
        <v>1532</v>
      </c>
      <c r="D8" s="6" t="s">
        <v>1513</v>
      </c>
      <c r="E8" s="6" t="s">
        <v>1564</v>
      </c>
      <c r="F8" s="6" t="n">
        <v>8</v>
      </c>
      <c r="G8" s="6" t="s">
        <v>1494</v>
      </c>
      <c r="H8" s="6" t="s">
        <v>1565</v>
      </c>
      <c r="I8" s="4" t="s">
        <v>1566</v>
      </c>
      <c r="J8" s="6" t="s">
        <v>1567</v>
      </c>
      <c r="L8" s="12" t="s">
        <v>1568</v>
      </c>
      <c r="M8" s="12" t="s">
        <v>1518</v>
      </c>
    </row>
    <row r="9" customFormat="false" ht="15" hidden="false" customHeight="false" outlineLevel="0" collapsed="false">
      <c r="A9" s="6" t="s">
        <v>1569</v>
      </c>
      <c r="B9" s="6" t="s">
        <v>92</v>
      </c>
      <c r="C9" s="6" t="s">
        <v>1532</v>
      </c>
      <c r="D9" s="6" t="s">
        <v>1513</v>
      </c>
      <c r="E9" s="6" t="s">
        <v>1570</v>
      </c>
      <c r="F9" s="6" t="n">
        <v>9</v>
      </c>
      <c r="G9" s="6" t="s">
        <v>1495</v>
      </c>
      <c r="H9" s="6" t="s">
        <v>1571</v>
      </c>
      <c r="I9" s="4" t="s">
        <v>1572</v>
      </c>
      <c r="J9" s="6" t="s">
        <v>1573</v>
      </c>
      <c r="L9" s="12" t="s">
        <v>1574</v>
      </c>
      <c r="M9" s="12" t="s">
        <v>1519</v>
      </c>
    </row>
    <row r="10" customFormat="false" ht="23.85" hidden="false" customHeight="false" outlineLevel="0" collapsed="false">
      <c r="A10" s="6" t="s">
        <v>262</v>
      </c>
      <c r="B10" s="6" t="s">
        <v>165</v>
      </c>
      <c r="C10" s="6" t="s">
        <v>1532</v>
      </c>
      <c r="D10" s="6" t="s">
        <v>1513</v>
      </c>
      <c r="E10" s="6" t="s">
        <v>1575</v>
      </c>
      <c r="F10" s="6" t="n">
        <v>12</v>
      </c>
      <c r="G10" s="6" t="s">
        <v>1498</v>
      </c>
      <c r="H10" s="6" t="s">
        <v>1576</v>
      </c>
      <c r="I10" s="4" t="s">
        <v>1577</v>
      </c>
      <c r="J10" s="6" t="s">
        <v>1578</v>
      </c>
    </row>
    <row r="11" customFormat="false" ht="23.85" hidden="false" customHeight="false" outlineLevel="0" collapsed="false">
      <c r="A11" s="6" t="s">
        <v>1414</v>
      </c>
      <c r="B11" s="6" t="s">
        <v>129</v>
      </c>
      <c r="C11" s="6" t="s">
        <v>1557</v>
      </c>
      <c r="D11" s="6" t="s">
        <v>1089</v>
      </c>
      <c r="E11" s="6" t="s">
        <v>1579</v>
      </c>
      <c r="F11" s="6" t="n">
        <v>9</v>
      </c>
      <c r="G11" s="6" t="s">
        <v>1495</v>
      </c>
      <c r="H11" s="6" t="s">
        <v>1580</v>
      </c>
      <c r="I11" s="4" t="s">
        <v>1581</v>
      </c>
      <c r="J11" s="6" t="s">
        <v>1582</v>
      </c>
    </row>
    <row r="12" customFormat="false" ht="35.05" hidden="false" customHeight="false" outlineLevel="0" collapsed="false">
      <c r="A12" s="6" t="s">
        <v>1306</v>
      </c>
      <c r="B12" s="6" t="s">
        <v>1086</v>
      </c>
      <c r="C12" s="6" t="s">
        <v>1557</v>
      </c>
      <c r="D12" s="6" t="s">
        <v>1089</v>
      </c>
      <c r="E12" s="6" t="s">
        <v>1583</v>
      </c>
      <c r="F12" s="6" t="n">
        <v>9</v>
      </c>
      <c r="G12" s="6" t="s">
        <v>1495</v>
      </c>
      <c r="H12" s="6" t="s">
        <v>1584</v>
      </c>
      <c r="I12" s="4" t="s">
        <v>1585</v>
      </c>
      <c r="J12" s="6" t="s">
        <v>1586</v>
      </c>
    </row>
    <row r="13" customFormat="false" ht="15" hidden="false" customHeight="false" outlineLevel="0" collapsed="false">
      <c r="A13" s="6" t="s">
        <v>1587</v>
      </c>
      <c r="B13" s="6" t="s">
        <v>1305</v>
      </c>
      <c r="C13" s="6" t="s">
        <v>1557</v>
      </c>
      <c r="D13" s="6" t="s">
        <v>1089</v>
      </c>
      <c r="E13" s="6" t="s">
        <v>1588</v>
      </c>
      <c r="F13" s="6" t="n">
        <v>9</v>
      </c>
      <c r="G13" s="6" t="s">
        <v>1495</v>
      </c>
      <c r="H13" s="6" t="s">
        <v>1584</v>
      </c>
      <c r="I13" s="4" t="s">
        <v>1589</v>
      </c>
      <c r="J13" s="6" t="s">
        <v>1590</v>
      </c>
    </row>
    <row r="14" customFormat="false" ht="23.85" hidden="false" customHeight="false" outlineLevel="0" collapsed="false">
      <c r="A14" s="6" t="s">
        <v>1591</v>
      </c>
      <c r="B14" s="6" t="s">
        <v>278</v>
      </c>
      <c r="C14" s="6" t="s">
        <v>1557</v>
      </c>
      <c r="D14" s="6" t="s">
        <v>1089</v>
      </c>
      <c r="E14" s="6" t="s">
        <v>1592</v>
      </c>
      <c r="F14" s="6" t="n">
        <v>9</v>
      </c>
      <c r="G14" s="6" t="s">
        <v>1495</v>
      </c>
      <c r="H14" s="6" t="s">
        <v>1593</v>
      </c>
      <c r="I14" s="4" t="s">
        <v>1594</v>
      </c>
      <c r="J14" s="6" t="s">
        <v>1595</v>
      </c>
    </row>
    <row r="15" customFormat="false" ht="23.85" hidden="false" customHeight="false" outlineLevel="0" collapsed="false">
      <c r="A15" s="6" t="s">
        <v>166</v>
      </c>
      <c r="B15" s="6" t="s">
        <v>387</v>
      </c>
      <c r="C15" s="6" t="s">
        <v>1541</v>
      </c>
      <c r="D15" s="6" t="s">
        <v>1514</v>
      </c>
      <c r="E15" s="6" t="s">
        <v>1596</v>
      </c>
      <c r="F15" s="6" t="n">
        <v>8</v>
      </c>
      <c r="G15" s="6" t="s">
        <v>1494</v>
      </c>
      <c r="H15" s="6" t="s">
        <v>1597</v>
      </c>
      <c r="I15" s="4" t="s">
        <v>1598</v>
      </c>
      <c r="J15" s="6" t="s">
        <v>1599</v>
      </c>
    </row>
    <row r="16" customFormat="false" ht="23.85" hidden="false" customHeight="false" outlineLevel="0" collapsed="false">
      <c r="A16" s="6" t="s">
        <v>388</v>
      </c>
      <c r="B16" s="6" t="s">
        <v>449</v>
      </c>
      <c r="C16" s="6" t="s">
        <v>1541</v>
      </c>
      <c r="D16" s="6" t="s">
        <v>1514</v>
      </c>
      <c r="E16" s="6" t="s">
        <v>1600</v>
      </c>
      <c r="F16" s="6" t="n">
        <v>8</v>
      </c>
      <c r="G16" s="6" t="s">
        <v>1494</v>
      </c>
      <c r="H16" s="6" t="s">
        <v>1601</v>
      </c>
      <c r="I16" s="4" t="s">
        <v>1602</v>
      </c>
      <c r="J16" s="6" t="s">
        <v>1603</v>
      </c>
    </row>
    <row r="17" customFormat="false" ht="15" hidden="false" customHeight="false" outlineLevel="0" collapsed="false">
      <c r="A17" s="6" t="s">
        <v>631</v>
      </c>
      <c r="B17" s="6" t="s">
        <v>468</v>
      </c>
      <c r="C17" s="6" t="s">
        <v>1541</v>
      </c>
      <c r="D17" s="6" t="s">
        <v>1514</v>
      </c>
      <c r="E17" s="6" t="s">
        <v>1604</v>
      </c>
      <c r="F17" s="6" t="n">
        <v>1</v>
      </c>
      <c r="G17" s="6" t="s">
        <v>1487</v>
      </c>
      <c r="H17" s="6" t="s">
        <v>1605</v>
      </c>
      <c r="I17" s="4" t="s">
        <v>1606</v>
      </c>
      <c r="J17" s="6" t="s">
        <v>1607</v>
      </c>
    </row>
    <row r="18" customFormat="false" ht="23.85" hidden="false" customHeight="false" outlineLevel="0" collapsed="false">
      <c r="A18" s="6" t="s">
        <v>538</v>
      </c>
      <c r="B18" s="6" t="s">
        <v>410</v>
      </c>
      <c r="C18" s="6" t="s">
        <v>1541</v>
      </c>
      <c r="D18" s="6" t="s">
        <v>1514</v>
      </c>
      <c r="E18" s="6" t="s">
        <v>1608</v>
      </c>
      <c r="F18" s="6" t="n">
        <v>1</v>
      </c>
      <c r="G18" s="6" t="s">
        <v>1487</v>
      </c>
      <c r="H18" s="6" t="s">
        <v>1609</v>
      </c>
      <c r="I18" s="4" t="s">
        <v>1610</v>
      </c>
      <c r="J18" s="6" t="s">
        <v>1611</v>
      </c>
    </row>
    <row r="19" customFormat="false" ht="15" hidden="false" customHeight="false" outlineLevel="0" collapsed="false">
      <c r="A19" s="6" t="s">
        <v>615</v>
      </c>
      <c r="B19" s="6" t="s">
        <v>428</v>
      </c>
      <c r="C19" s="6" t="s">
        <v>1541</v>
      </c>
      <c r="D19" s="6" t="s">
        <v>1514</v>
      </c>
      <c r="E19" s="6" t="s">
        <v>1612</v>
      </c>
      <c r="F19" s="6" t="n">
        <v>1</v>
      </c>
      <c r="G19" s="6" t="s">
        <v>1487</v>
      </c>
      <c r="H19" s="6" t="s">
        <v>1613</v>
      </c>
      <c r="I19" s="4" t="s">
        <v>1614</v>
      </c>
      <c r="J19" s="6" t="s">
        <v>1615</v>
      </c>
    </row>
    <row r="20" customFormat="false" ht="23.85" hidden="false" customHeight="false" outlineLevel="0" collapsed="false">
      <c r="A20" s="6" t="s">
        <v>1616</v>
      </c>
      <c r="B20" s="6" t="s">
        <v>1445</v>
      </c>
      <c r="C20" s="6" t="s">
        <v>1541</v>
      </c>
      <c r="D20" s="6" t="s">
        <v>1514</v>
      </c>
      <c r="E20" s="6" t="s">
        <v>1617</v>
      </c>
      <c r="F20" s="6" t="n">
        <v>5</v>
      </c>
      <c r="G20" s="6" t="s">
        <v>1491</v>
      </c>
      <c r="H20" s="6" t="s">
        <v>1618</v>
      </c>
      <c r="I20" s="4" t="s">
        <v>1619</v>
      </c>
      <c r="J20" s="6" t="s">
        <v>1620</v>
      </c>
    </row>
    <row r="21" customFormat="false" ht="23.85" hidden="false" customHeight="false" outlineLevel="0" collapsed="false">
      <c r="A21" s="6" t="s">
        <v>1408</v>
      </c>
      <c r="B21" s="6" t="s">
        <v>537</v>
      </c>
      <c r="C21" s="6" t="s">
        <v>1541</v>
      </c>
      <c r="D21" s="6" t="s">
        <v>1514</v>
      </c>
      <c r="E21" s="6" t="s">
        <v>1621</v>
      </c>
      <c r="F21" s="6" t="n">
        <v>2</v>
      </c>
      <c r="G21" s="6" t="s">
        <v>1488</v>
      </c>
      <c r="H21" s="6" t="s">
        <v>1622</v>
      </c>
      <c r="I21" s="4" t="s">
        <v>1623</v>
      </c>
      <c r="J21" s="6" t="s">
        <v>1624</v>
      </c>
    </row>
    <row r="22" customFormat="false" ht="15" hidden="false" customHeight="false" outlineLevel="0" collapsed="false">
      <c r="A22" s="6" t="s">
        <v>556</v>
      </c>
      <c r="B22" s="6" t="s">
        <v>376</v>
      </c>
      <c r="C22" s="6" t="s">
        <v>1541</v>
      </c>
      <c r="D22" s="6" t="s">
        <v>1514</v>
      </c>
      <c r="E22" s="6" t="s">
        <v>1625</v>
      </c>
      <c r="F22" s="6" t="n">
        <v>4</v>
      </c>
      <c r="G22" s="6" t="s">
        <v>1490</v>
      </c>
      <c r="H22" s="6" t="s">
        <v>1626</v>
      </c>
      <c r="I22" s="4" t="s">
        <v>1627</v>
      </c>
      <c r="J22" s="6" t="s">
        <v>1628</v>
      </c>
    </row>
    <row r="23" customFormat="false" ht="23.85" hidden="false" customHeight="false" outlineLevel="0" collapsed="false">
      <c r="A23" s="6" t="s">
        <v>399</v>
      </c>
      <c r="B23" s="6" t="s">
        <v>365</v>
      </c>
      <c r="C23" s="6" t="s">
        <v>1546</v>
      </c>
      <c r="D23" s="6" t="s">
        <v>1515</v>
      </c>
      <c r="E23" s="6" t="s">
        <v>1629</v>
      </c>
      <c r="F23" s="6" t="n">
        <v>3</v>
      </c>
      <c r="G23" s="6" t="s">
        <v>1489</v>
      </c>
      <c r="H23" s="6" t="s">
        <v>1630</v>
      </c>
      <c r="I23" s="4" t="s">
        <v>1631</v>
      </c>
      <c r="J23" s="6" t="s">
        <v>1632</v>
      </c>
    </row>
    <row r="24" customFormat="false" ht="15" hidden="false" customHeight="false" outlineLevel="0" collapsed="false">
      <c r="A24" s="6" t="s">
        <v>1633</v>
      </c>
      <c r="B24" s="6" t="s">
        <v>606</v>
      </c>
      <c r="C24" s="6" t="s">
        <v>1546</v>
      </c>
      <c r="D24" s="6" t="s">
        <v>1515</v>
      </c>
      <c r="E24" s="6" t="s">
        <v>1634</v>
      </c>
      <c r="F24" s="6" t="n">
        <v>3</v>
      </c>
      <c r="G24" s="6" t="s">
        <v>1489</v>
      </c>
      <c r="H24" s="6" t="s">
        <v>1635</v>
      </c>
      <c r="I24" s="4" t="s">
        <v>1636</v>
      </c>
      <c r="J24" s="6" t="s">
        <v>1637</v>
      </c>
    </row>
    <row r="25" customFormat="false" ht="15" hidden="false" customHeight="false" outlineLevel="0" collapsed="false">
      <c r="A25" s="6" t="s">
        <v>1638</v>
      </c>
      <c r="B25" s="6" t="s">
        <v>457</v>
      </c>
      <c r="C25" s="6" t="s">
        <v>1546</v>
      </c>
      <c r="D25" s="6" t="s">
        <v>1515</v>
      </c>
      <c r="E25" s="6" t="s">
        <v>1639</v>
      </c>
      <c r="F25" s="6" t="n">
        <v>3</v>
      </c>
      <c r="G25" s="6" t="s">
        <v>1489</v>
      </c>
      <c r="H25" s="6" t="s">
        <v>1640</v>
      </c>
      <c r="I25" s="4" t="s">
        <v>1641</v>
      </c>
      <c r="J25" s="6" t="s">
        <v>1642</v>
      </c>
    </row>
    <row r="26" customFormat="false" ht="23.85" hidden="false" customHeight="false" outlineLevel="0" collapsed="false">
      <c r="A26" s="6" t="s">
        <v>522</v>
      </c>
      <c r="B26" s="6" t="s">
        <v>398</v>
      </c>
      <c r="C26" s="6" t="s">
        <v>1546</v>
      </c>
      <c r="D26" s="6" t="s">
        <v>1515</v>
      </c>
      <c r="E26" s="6" t="s">
        <v>1643</v>
      </c>
      <c r="F26" s="6" t="n">
        <v>17</v>
      </c>
      <c r="G26" s="6" t="s">
        <v>1503</v>
      </c>
      <c r="H26" s="6" t="s">
        <v>1644</v>
      </c>
      <c r="I26" s="4" t="s">
        <v>1645</v>
      </c>
      <c r="J26" s="6" t="s">
        <v>1646</v>
      </c>
    </row>
    <row r="27" customFormat="false" ht="15" hidden="false" customHeight="false" outlineLevel="0" collapsed="false">
      <c r="A27" s="6" t="s">
        <v>1647</v>
      </c>
      <c r="B27" s="6" t="s">
        <v>514</v>
      </c>
      <c r="C27" s="6" t="s">
        <v>1546</v>
      </c>
      <c r="D27" s="6" t="s">
        <v>1515</v>
      </c>
      <c r="E27" s="6" t="s">
        <v>1648</v>
      </c>
      <c r="F27" s="6" t="n">
        <v>10</v>
      </c>
      <c r="G27" s="6" t="s">
        <v>1496</v>
      </c>
      <c r="H27" s="6" t="s">
        <v>1649</v>
      </c>
      <c r="I27" s="4" t="s">
        <v>1650</v>
      </c>
      <c r="J27" s="6" t="s">
        <v>1651</v>
      </c>
    </row>
    <row r="28" customFormat="false" ht="23.85" hidden="false" customHeight="false" outlineLevel="0" collapsed="false">
      <c r="A28" s="6" t="s">
        <v>1652</v>
      </c>
      <c r="B28" s="6" t="s">
        <v>1008</v>
      </c>
      <c r="C28" s="6" t="s">
        <v>1551</v>
      </c>
      <c r="D28" s="6" t="s">
        <v>1516</v>
      </c>
      <c r="E28" s="6" t="s">
        <v>1653</v>
      </c>
      <c r="F28" s="6" t="n">
        <v>4</v>
      </c>
      <c r="G28" s="6" t="s">
        <v>1490</v>
      </c>
      <c r="H28" s="6" t="s">
        <v>1654</v>
      </c>
      <c r="I28" s="4" t="s">
        <v>1655</v>
      </c>
      <c r="J28" s="6" t="s">
        <v>1656</v>
      </c>
    </row>
    <row r="29" customFormat="false" ht="15" hidden="false" customHeight="false" outlineLevel="0" collapsed="false">
      <c r="A29" s="6" t="s">
        <v>1657</v>
      </c>
      <c r="B29" s="6" t="s">
        <v>1030</v>
      </c>
      <c r="C29" s="6" t="s">
        <v>1551</v>
      </c>
      <c r="D29" s="6" t="s">
        <v>1516</v>
      </c>
      <c r="E29" s="6" t="s">
        <v>1658</v>
      </c>
      <c r="F29" s="6" t="n">
        <v>4</v>
      </c>
      <c r="G29" s="6" t="s">
        <v>1490</v>
      </c>
      <c r="H29" s="6" t="s">
        <v>1659</v>
      </c>
      <c r="I29" s="4" t="s">
        <v>1660</v>
      </c>
      <c r="J29" s="6" t="s">
        <v>1661</v>
      </c>
    </row>
    <row r="30" customFormat="false" ht="23.85" hidden="false" customHeight="false" outlineLevel="0" collapsed="false">
      <c r="A30" s="6" t="s">
        <v>1340</v>
      </c>
      <c r="B30" s="6" t="s">
        <v>487</v>
      </c>
      <c r="C30" s="6" t="s">
        <v>1551</v>
      </c>
      <c r="D30" s="6" t="s">
        <v>1516</v>
      </c>
      <c r="E30" s="6" t="s">
        <v>1662</v>
      </c>
      <c r="F30" s="6" t="n">
        <v>4</v>
      </c>
      <c r="G30" s="6" t="s">
        <v>1490</v>
      </c>
      <c r="H30" s="6" t="s">
        <v>1663</v>
      </c>
      <c r="I30" s="4" t="s">
        <v>1664</v>
      </c>
      <c r="J30" s="6" t="s">
        <v>1665</v>
      </c>
    </row>
    <row r="31" customFormat="false" ht="23.85" hidden="false" customHeight="false" outlineLevel="0" collapsed="false">
      <c r="A31" s="6" t="s">
        <v>1666</v>
      </c>
      <c r="B31" s="6" t="s">
        <v>478</v>
      </c>
      <c r="C31" s="6" t="s">
        <v>1551</v>
      </c>
      <c r="D31" s="6" t="s">
        <v>1516</v>
      </c>
      <c r="E31" s="6" t="s">
        <v>1667</v>
      </c>
      <c r="F31" s="6" t="n">
        <v>11</v>
      </c>
      <c r="G31" s="6" t="s">
        <v>1497</v>
      </c>
      <c r="H31" s="6" t="s">
        <v>1668</v>
      </c>
      <c r="I31" s="4" t="s">
        <v>1669</v>
      </c>
      <c r="J31" s="6" t="s">
        <v>1670</v>
      </c>
    </row>
    <row r="32" customFormat="false" ht="15" hidden="false" customHeight="false" outlineLevel="0" collapsed="false">
      <c r="A32" s="6" t="s">
        <v>1671</v>
      </c>
      <c r="B32" s="6" t="s">
        <v>975</v>
      </c>
      <c r="C32" s="6" t="s">
        <v>1551</v>
      </c>
      <c r="D32" s="6" t="s">
        <v>1516</v>
      </c>
      <c r="E32" s="6" t="s">
        <v>1672</v>
      </c>
      <c r="F32" s="6" t="n">
        <v>3</v>
      </c>
      <c r="G32" s="6" t="s">
        <v>1489</v>
      </c>
      <c r="H32" s="6" t="s">
        <v>1673</v>
      </c>
      <c r="I32" s="4" t="s">
        <v>1674</v>
      </c>
      <c r="J32" s="6" t="s">
        <v>1675</v>
      </c>
    </row>
    <row r="33" customFormat="false" ht="23.85" hidden="false" customHeight="false" outlineLevel="0" collapsed="false">
      <c r="A33" s="6" t="s">
        <v>1676</v>
      </c>
      <c r="B33" s="6" t="s">
        <v>694</v>
      </c>
      <c r="C33" s="6" t="s">
        <v>1563</v>
      </c>
      <c r="D33" s="6" t="s">
        <v>1517</v>
      </c>
      <c r="E33" s="6" t="s">
        <v>1677</v>
      </c>
      <c r="F33" s="6" t="n">
        <v>15</v>
      </c>
      <c r="G33" s="6" t="s">
        <v>1501</v>
      </c>
      <c r="H33" s="6" t="s">
        <v>1678</v>
      </c>
      <c r="I33" s="4" t="s">
        <v>1679</v>
      </c>
      <c r="J33" s="6" t="s">
        <v>1680</v>
      </c>
    </row>
    <row r="34" customFormat="false" ht="23.85" hidden="false" customHeight="false" outlineLevel="0" collapsed="false">
      <c r="A34" s="6" t="s">
        <v>675</v>
      </c>
      <c r="B34" s="6" t="s">
        <v>684</v>
      </c>
      <c r="C34" s="6" t="s">
        <v>1563</v>
      </c>
      <c r="D34" s="6" t="s">
        <v>1517</v>
      </c>
      <c r="E34" s="6" t="s">
        <v>1681</v>
      </c>
      <c r="F34" s="6" t="n">
        <v>6</v>
      </c>
      <c r="G34" s="6" t="s">
        <v>1492</v>
      </c>
      <c r="H34" s="6" t="s">
        <v>1682</v>
      </c>
      <c r="I34" s="4" t="s">
        <v>1683</v>
      </c>
      <c r="J34" s="6" t="s">
        <v>1684</v>
      </c>
    </row>
    <row r="35" customFormat="false" ht="23.85" hidden="false" customHeight="false" outlineLevel="0" collapsed="false">
      <c r="A35" s="6" t="s">
        <v>1430</v>
      </c>
      <c r="B35" s="6" t="s">
        <v>662</v>
      </c>
      <c r="C35" s="6" t="s">
        <v>1563</v>
      </c>
      <c r="D35" s="6" t="s">
        <v>1517</v>
      </c>
      <c r="E35" s="6" t="s">
        <v>1685</v>
      </c>
      <c r="F35" s="6" t="n">
        <v>7</v>
      </c>
      <c r="G35" s="6" t="s">
        <v>1493</v>
      </c>
      <c r="H35" s="6" t="s">
        <v>1686</v>
      </c>
      <c r="I35" s="4" t="s">
        <v>1687</v>
      </c>
      <c r="J35" s="6" t="s">
        <v>1688</v>
      </c>
    </row>
    <row r="36" customFormat="false" ht="23.85" hidden="false" customHeight="false" outlineLevel="0" collapsed="false">
      <c r="A36" s="6" t="s">
        <v>663</v>
      </c>
      <c r="B36" s="6" t="s">
        <v>705</v>
      </c>
      <c r="C36" s="6" t="s">
        <v>1563</v>
      </c>
      <c r="D36" s="6" t="s">
        <v>1517</v>
      </c>
      <c r="E36" s="6" t="s">
        <v>1689</v>
      </c>
      <c r="F36" s="6" t="n">
        <v>13</v>
      </c>
      <c r="G36" s="6" t="s">
        <v>1499</v>
      </c>
      <c r="H36" s="6" t="s">
        <v>1690</v>
      </c>
      <c r="I36" s="4" t="s">
        <v>1691</v>
      </c>
      <c r="J36" s="6" t="s">
        <v>1692</v>
      </c>
    </row>
    <row r="37" customFormat="false" ht="15" hidden="false" customHeight="false" outlineLevel="0" collapsed="false">
      <c r="A37" s="6" t="s">
        <v>1693</v>
      </c>
      <c r="B37" s="6" t="s">
        <v>781</v>
      </c>
      <c r="C37" s="6" t="s">
        <v>1563</v>
      </c>
      <c r="D37" s="6" t="s">
        <v>1517</v>
      </c>
      <c r="E37" s="6" t="s">
        <v>1694</v>
      </c>
      <c r="F37" s="6" t="n">
        <v>12</v>
      </c>
      <c r="G37" s="6" t="s">
        <v>1498</v>
      </c>
      <c r="H37" s="6" t="s">
        <v>1695</v>
      </c>
      <c r="I37" s="4" t="s">
        <v>1696</v>
      </c>
      <c r="J37" s="6" t="s">
        <v>1697</v>
      </c>
    </row>
    <row r="38" customFormat="false" ht="15" hidden="false" customHeight="false" outlineLevel="0" collapsed="false">
      <c r="A38" s="6" t="s">
        <v>1698</v>
      </c>
      <c r="B38" s="6" t="s">
        <v>356</v>
      </c>
      <c r="C38" s="6" t="s">
        <v>1563</v>
      </c>
      <c r="D38" s="6" t="s">
        <v>1517</v>
      </c>
      <c r="E38" s="6" t="s">
        <v>1699</v>
      </c>
      <c r="F38" s="6" t="n">
        <v>15</v>
      </c>
      <c r="G38" s="6" t="s">
        <v>1501</v>
      </c>
      <c r="H38" s="6" t="s">
        <v>1700</v>
      </c>
      <c r="I38" s="4" t="s">
        <v>1701</v>
      </c>
      <c r="J38" s="6" t="s">
        <v>1702</v>
      </c>
    </row>
    <row r="39" customFormat="false" ht="15" hidden="false" customHeight="false" outlineLevel="0" collapsed="false">
      <c r="A39" s="6" t="s">
        <v>788</v>
      </c>
      <c r="B39" s="6" t="s">
        <v>753</v>
      </c>
      <c r="C39" s="6" t="s">
        <v>1563</v>
      </c>
      <c r="D39" s="6" t="s">
        <v>1517</v>
      </c>
      <c r="E39" s="6" t="s">
        <v>1703</v>
      </c>
      <c r="F39" s="6" t="n">
        <v>11</v>
      </c>
      <c r="G39" s="6" t="s">
        <v>1497</v>
      </c>
      <c r="H39" s="6" t="s">
        <v>1704</v>
      </c>
      <c r="I39" s="4" t="s">
        <v>1705</v>
      </c>
      <c r="J39" s="6" t="s">
        <v>1706</v>
      </c>
    </row>
    <row r="40" customFormat="false" ht="23.85" hidden="false" customHeight="false" outlineLevel="0" collapsed="false">
      <c r="A40" s="6" t="s">
        <v>868</v>
      </c>
      <c r="B40" s="6" t="s">
        <v>843</v>
      </c>
      <c r="C40" s="6" t="s">
        <v>1568</v>
      </c>
      <c r="D40" s="6" t="s">
        <v>1518</v>
      </c>
      <c r="E40" s="6" t="s">
        <v>1707</v>
      </c>
      <c r="F40" s="6" t="n">
        <v>11</v>
      </c>
      <c r="G40" s="6" t="s">
        <v>1497</v>
      </c>
      <c r="H40" s="6" t="s">
        <v>1708</v>
      </c>
      <c r="I40" s="4" t="s">
        <v>1709</v>
      </c>
      <c r="J40" s="6" t="s">
        <v>1710</v>
      </c>
    </row>
    <row r="41" customFormat="false" ht="15" hidden="false" customHeight="false" outlineLevel="0" collapsed="false">
      <c r="A41" s="6" t="s">
        <v>917</v>
      </c>
      <c r="B41" s="6" t="s">
        <v>895</v>
      </c>
      <c r="C41" s="6" t="s">
        <v>1568</v>
      </c>
      <c r="D41" s="6" t="s">
        <v>1518</v>
      </c>
      <c r="E41" s="6" t="s">
        <v>1711</v>
      </c>
      <c r="F41" s="6" t="n">
        <v>11</v>
      </c>
      <c r="G41" s="6" t="s">
        <v>1497</v>
      </c>
      <c r="H41" s="6" t="s">
        <v>1712</v>
      </c>
      <c r="I41" s="4" t="s">
        <v>1713</v>
      </c>
      <c r="J41" s="6" t="s">
        <v>1714</v>
      </c>
    </row>
    <row r="42" customFormat="false" ht="15" hidden="false" customHeight="false" outlineLevel="0" collapsed="false">
      <c r="A42" s="6" t="s">
        <v>695</v>
      </c>
      <c r="B42" s="6" t="s">
        <v>861</v>
      </c>
      <c r="C42" s="6" t="s">
        <v>1568</v>
      </c>
      <c r="D42" s="6" t="s">
        <v>1518</v>
      </c>
      <c r="E42" s="6" t="s">
        <v>1715</v>
      </c>
      <c r="F42" s="6" t="n">
        <v>17</v>
      </c>
      <c r="G42" s="6" t="s">
        <v>1503</v>
      </c>
      <c r="H42" s="6" t="s">
        <v>1716</v>
      </c>
      <c r="I42" s="4" t="s">
        <v>1717</v>
      </c>
      <c r="J42" s="6" t="s">
        <v>1718</v>
      </c>
    </row>
    <row r="43" customFormat="false" ht="23.85" hidden="false" customHeight="false" outlineLevel="0" collapsed="false">
      <c r="A43" s="6" t="s">
        <v>1719</v>
      </c>
      <c r="B43" s="6" t="s">
        <v>904</v>
      </c>
      <c r="C43" s="6" t="s">
        <v>1568</v>
      </c>
      <c r="D43" s="6" t="s">
        <v>1518</v>
      </c>
      <c r="E43" s="6" t="s">
        <v>1720</v>
      </c>
      <c r="F43" s="6" t="n">
        <v>11</v>
      </c>
      <c r="G43" s="6" t="s">
        <v>1497</v>
      </c>
      <c r="H43" s="6" t="s">
        <v>1721</v>
      </c>
      <c r="I43" s="4" t="s">
        <v>1722</v>
      </c>
      <c r="J43" s="6" t="s">
        <v>1723</v>
      </c>
    </row>
    <row r="44" customFormat="false" ht="23.85" hidden="false" customHeight="false" outlineLevel="0" collapsed="false">
      <c r="A44" s="6" t="s">
        <v>1161</v>
      </c>
      <c r="B44" s="6" t="s">
        <v>1136</v>
      </c>
      <c r="C44" s="6" t="s">
        <v>1574</v>
      </c>
      <c r="D44" s="6" t="s">
        <v>1519</v>
      </c>
      <c r="E44" s="6" t="s">
        <v>1724</v>
      </c>
      <c r="F44" s="6" t="n">
        <v>16</v>
      </c>
      <c r="G44" s="6" t="s">
        <v>1502</v>
      </c>
      <c r="H44" s="6" t="s">
        <v>1725</v>
      </c>
      <c r="I44" s="4" t="s">
        <v>1726</v>
      </c>
      <c r="J44" s="6" t="s">
        <v>1727</v>
      </c>
    </row>
    <row r="45" customFormat="false" ht="23.85" hidden="false" customHeight="false" outlineLevel="0" collapsed="false">
      <c r="A45" s="6" t="s">
        <v>1095</v>
      </c>
      <c r="B45" s="6" t="s">
        <v>888</v>
      </c>
      <c r="C45" s="6" t="s">
        <v>1574</v>
      </c>
      <c r="D45" s="6" t="s">
        <v>1519</v>
      </c>
      <c r="E45" s="6" t="s">
        <v>1728</v>
      </c>
      <c r="F45" s="6" t="n">
        <v>16</v>
      </c>
      <c r="G45" s="6" t="s">
        <v>1502</v>
      </c>
      <c r="H45" s="6" t="s">
        <v>1729</v>
      </c>
      <c r="I45" s="4" t="s">
        <v>1730</v>
      </c>
      <c r="J45" s="6" t="s">
        <v>1731</v>
      </c>
    </row>
    <row r="46" customFormat="false" ht="15" hidden="false" customHeight="false" outlineLevel="0" collapsed="false">
      <c r="A46" s="6" t="s">
        <v>1732</v>
      </c>
      <c r="B46" s="6" t="s">
        <v>1145</v>
      </c>
      <c r="C46" s="6" t="s">
        <v>1574</v>
      </c>
      <c r="D46" s="6" t="s">
        <v>1519</v>
      </c>
      <c r="E46" s="6" t="s">
        <v>1733</v>
      </c>
      <c r="F46" s="6" t="n">
        <v>16</v>
      </c>
      <c r="G46" s="6" t="s">
        <v>1502</v>
      </c>
      <c r="H46" s="6" t="s">
        <v>1734</v>
      </c>
      <c r="I46" s="4" t="s">
        <v>1735</v>
      </c>
      <c r="J46" s="6" t="s">
        <v>1736</v>
      </c>
    </row>
    <row r="47" customFormat="false" ht="15" hidden="false" customHeight="false" outlineLevel="0" collapsed="false">
      <c r="A47" s="6" t="s">
        <v>495</v>
      </c>
      <c r="B47" s="6" t="s">
        <v>571</v>
      </c>
      <c r="C47" s="6" t="s">
        <v>1574</v>
      </c>
      <c r="D47" s="6" t="s">
        <v>1519</v>
      </c>
      <c r="E47" s="6" t="s">
        <v>1737</v>
      </c>
      <c r="F47" s="6" t="n">
        <v>16</v>
      </c>
      <c r="G47" s="6" t="s">
        <v>1502</v>
      </c>
      <c r="H47" s="6" t="s">
        <v>1738</v>
      </c>
      <c r="I47" s="4" t="s">
        <v>1739</v>
      </c>
      <c r="J47" s="6" t="s">
        <v>1740</v>
      </c>
    </row>
    <row r="48" customFormat="false" ht="23.85" hidden="false" customHeight="false" outlineLevel="0" collapsed="false">
      <c r="A48" s="6" t="s">
        <v>572</v>
      </c>
      <c r="B48" s="6" t="s">
        <v>1226</v>
      </c>
      <c r="C48" s="6" t="s">
        <v>1574</v>
      </c>
      <c r="D48" s="6" t="s">
        <v>1519</v>
      </c>
      <c r="E48" s="6" t="s">
        <v>1741</v>
      </c>
      <c r="F48" s="6" t="n">
        <v>16</v>
      </c>
      <c r="G48" s="6" t="s">
        <v>1502</v>
      </c>
      <c r="H48" s="6" t="s">
        <v>1742</v>
      </c>
      <c r="I48" s="4" t="s">
        <v>1743</v>
      </c>
      <c r="J48" s="6" t="s">
        <v>1744</v>
      </c>
    </row>
    <row r="49" customFormat="false" ht="15" hidden="false" customHeight="false" outlineLevel="0" collapsed="false">
      <c r="A49" s="6" t="s">
        <v>582</v>
      </c>
      <c r="B49" s="6" t="s">
        <v>438</v>
      </c>
      <c r="C49" s="6" t="s">
        <v>1574</v>
      </c>
      <c r="D49" s="6" t="s">
        <v>1519</v>
      </c>
      <c r="E49" s="6" t="s">
        <v>1745</v>
      </c>
      <c r="F49" s="6" t="n">
        <v>16</v>
      </c>
      <c r="G49" s="6" t="s">
        <v>1502</v>
      </c>
      <c r="H49" s="6" t="s">
        <v>1746</v>
      </c>
      <c r="I49" s="4" t="s">
        <v>1747</v>
      </c>
      <c r="J49" s="6" t="s">
        <v>1748</v>
      </c>
    </row>
    <row r="50" customFormat="false" ht="23.85" hidden="false" customHeight="false" outlineLevel="0" collapsed="false">
      <c r="A50" s="6" t="s">
        <v>1749</v>
      </c>
      <c r="B50" s="6" t="s">
        <v>910</v>
      </c>
      <c r="C50" s="6" t="s">
        <v>1574</v>
      </c>
      <c r="D50" s="6" t="s">
        <v>1519</v>
      </c>
      <c r="E50" s="6" t="s">
        <v>1750</v>
      </c>
      <c r="F50" s="6" t="n">
        <v>17</v>
      </c>
      <c r="G50" s="6" t="s">
        <v>1503</v>
      </c>
      <c r="H50" s="6" t="s">
        <v>1644</v>
      </c>
      <c r="I50" s="4" t="s">
        <v>1751</v>
      </c>
      <c r="J50" s="6" t="s">
        <v>1752</v>
      </c>
    </row>
    <row r="51" customFormat="false" ht="15" hidden="false" customHeight="false" outlineLevel="0" collapsed="false">
      <c r="A51" s="6" t="s">
        <v>1753</v>
      </c>
      <c r="B51" s="6" t="s">
        <v>1754</v>
      </c>
      <c r="C51" s="6" t="s">
        <v>1563</v>
      </c>
      <c r="D51" s="6" t="s">
        <v>1517</v>
      </c>
      <c r="E51" s="6" t="s">
        <v>1755</v>
      </c>
      <c r="F51" s="6" t="n">
        <v>14</v>
      </c>
      <c r="G51" s="6" t="s">
        <v>1500</v>
      </c>
      <c r="H51" s="6" t="s">
        <v>1756</v>
      </c>
      <c r="I51" s="4" t="s">
        <v>1757</v>
      </c>
      <c r="J51" s="6" t="s">
        <v>1758</v>
      </c>
    </row>
    <row r="52" customFormat="false" ht="23.85" hidden="false" customHeight="false" outlineLevel="0" collapsed="false">
      <c r="A52" s="6" t="s">
        <v>1759</v>
      </c>
      <c r="B52" s="6" t="s">
        <v>1760</v>
      </c>
      <c r="C52" s="6" t="s">
        <v>1532</v>
      </c>
      <c r="D52" s="6" t="s">
        <v>1513</v>
      </c>
      <c r="E52" s="6" t="s">
        <v>1761</v>
      </c>
      <c r="F52" s="6" t="n">
        <v>8</v>
      </c>
      <c r="G52" s="6" t="s">
        <v>1494</v>
      </c>
      <c r="H52" s="6" t="s">
        <v>1762</v>
      </c>
      <c r="I52" s="4" t="s">
        <v>1763</v>
      </c>
      <c r="J52" s="6" t="s">
        <v>1764</v>
      </c>
    </row>
    <row r="53" customFormat="false" ht="15" hidden="false" customHeight="false" outlineLevel="0" collapsed="false">
      <c r="A53" s="6" t="s">
        <v>1765</v>
      </c>
      <c r="B53" s="6" t="s">
        <v>1766</v>
      </c>
      <c r="C53" s="6" t="s">
        <v>1546</v>
      </c>
      <c r="D53" s="6" t="s">
        <v>1515</v>
      </c>
      <c r="E53" s="6" t="s">
        <v>1767</v>
      </c>
      <c r="F53" s="6" t="n">
        <v>3</v>
      </c>
      <c r="G53" s="6" t="s">
        <v>1489</v>
      </c>
      <c r="H53" s="6" t="s">
        <v>1768</v>
      </c>
      <c r="I53" s="4" t="s">
        <v>1769</v>
      </c>
      <c r="J53" s="6" t="s">
        <v>1770</v>
      </c>
    </row>
    <row r="54" customFormat="false" ht="15" hidden="false" customHeight="false" outlineLevel="0" collapsed="false">
      <c r="A54" s="6" t="s">
        <v>1771</v>
      </c>
      <c r="B54" s="6" t="s">
        <v>1772</v>
      </c>
      <c r="C54" s="6" t="s">
        <v>1574</v>
      </c>
      <c r="D54" s="6" t="s">
        <v>1519</v>
      </c>
      <c r="E54" s="6" t="s">
        <v>1773</v>
      </c>
      <c r="F54" s="6" t="n">
        <v>16</v>
      </c>
      <c r="G54" s="6" t="s">
        <v>1502</v>
      </c>
      <c r="H54" s="6" t="s">
        <v>1774</v>
      </c>
      <c r="I54" s="4" t="s">
        <v>1775</v>
      </c>
      <c r="J54" s="6" t="s">
        <v>1776</v>
      </c>
    </row>
  </sheetData>
  <autoFilter ref="A1:J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34"/>
    <col collapsed="false" customWidth="true" hidden="false" outlineLevel="0" max="4" min="4" style="0" width="10"/>
    <col collapsed="false" customWidth="true" hidden="false" outlineLevel="0" max="5" min="5" style="0" width="80"/>
  </cols>
  <sheetData>
    <row r="1" customFormat="false" ht="31.5" hidden="false" customHeight="true" outlineLevel="0" collapsed="false">
      <c r="A1" s="5" t="s">
        <v>1457</v>
      </c>
      <c r="B1" s="5" t="s">
        <v>1777</v>
      </c>
      <c r="C1" s="5" t="s">
        <v>1507</v>
      </c>
      <c r="D1" s="5" t="s">
        <v>1778</v>
      </c>
      <c r="E1" s="5" t="s">
        <v>1529</v>
      </c>
    </row>
    <row r="2" customFormat="false" ht="15" hidden="false" customHeight="false" outlineLevel="0" collapsed="false">
      <c r="A2" s="12" t="s">
        <v>1779</v>
      </c>
      <c r="B2" s="12" t="s">
        <v>223</v>
      </c>
      <c r="C2" s="12" t="s">
        <v>1780</v>
      </c>
      <c r="D2" s="12" t="n">
        <v>5</v>
      </c>
      <c r="E2" s="12" t="s">
        <v>1781</v>
      </c>
    </row>
    <row r="3" customFormat="false" ht="15" hidden="false" customHeight="false" outlineLevel="0" collapsed="false">
      <c r="A3" s="12" t="s">
        <v>1782</v>
      </c>
      <c r="B3" s="12" t="s">
        <v>429</v>
      </c>
      <c r="C3" s="12" t="s">
        <v>1783</v>
      </c>
      <c r="D3" s="12" t="n">
        <v>4</v>
      </c>
      <c r="E3" s="12" t="s">
        <v>1784</v>
      </c>
    </row>
    <row r="4" customFormat="false" ht="15" hidden="false" customHeight="false" outlineLevel="0" collapsed="false">
      <c r="A4" s="12" t="s">
        <v>1785</v>
      </c>
      <c r="B4" s="12" t="s">
        <v>1786</v>
      </c>
      <c r="C4" s="12" t="s">
        <v>1787</v>
      </c>
      <c r="D4" s="12" t="n">
        <v>8</v>
      </c>
      <c r="E4" s="12" t="s">
        <v>1788</v>
      </c>
    </row>
    <row r="5" customFormat="false" ht="15" hidden="false" customHeight="false" outlineLevel="0" collapsed="false">
      <c r="A5" s="12" t="s">
        <v>1789</v>
      </c>
      <c r="B5" s="12" t="s">
        <v>563</v>
      </c>
      <c r="C5" s="12" t="s">
        <v>1790</v>
      </c>
      <c r="D5" s="12" t="n">
        <v>1</v>
      </c>
      <c r="E5" s="12" t="s">
        <v>1791</v>
      </c>
    </row>
    <row r="6" customFormat="false" ht="15" hidden="false" customHeight="false" outlineLevel="0" collapsed="false">
      <c r="A6" s="12" t="s">
        <v>1792</v>
      </c>
      <c r="B6" s="12" t="s">
        <v>640</v>
      </c>
      <c r="C6" s="12" t="s">
        <v>1793</v>
      </c>
      <c r="D6" s="12" t="n">
        <v>10</v>
      </c>
      <c r="E6" s="12" t="s">
        <v>1794</v>
      </c>
    </row>
    <row r="7" customFormat="false" ht="15" hidden="false" customHeight="false" outlineLevel="0" collapsed="false">
      <c r="A7" s="12" t="s">
        <v>1795</v>
      </c>
      <c r="B7" s="12" t="s">
        <v>1796</v>
      </c>
      <c r="C7" s="12" t="s">
        <v>1797</v>
      </c>
      <c r="D7" s="12" t="n">
        <v>10</v>
      </c>
      <c r="E7" s="12" t="s">
        <v>1798</v>
      </c>
    </row>
    <row r="8" customFormat="false" ht="15" hidden="false" customHeight="false" outlineLevel="0" collapsed="false">
      <c r="A8" s="12" t="s">
        <v>1799</v>
      </c>
      <c r="B8" s="12" t="s">
        <v>1800</v>
      </c>
      <c r="C8" s="12" t="s">
        <v>1801</v>
      </c>
      <c r="D8" s="12" t="n">
        <v>10</v>
      </c>
      <c r="E8" s="12" t="s">
        <v>1802</v>
      </c>
    </row>
    <row r="9" customFormat="false" ht="15" hidden="false" customHeight="false" outlineLevel="0" collapsed="false">
      <c r="A9" s="12" t="s">
        <v>1803</v>
      </c>
      <c r="B9" s="12" t="s">
        <v>440</v>
      </c>
      <c r="C9" s="12" t="s">
        <v>1804</v>
      </c>
      <c r="D9" s="12" t="n">
        <v>16</v>
      </c>
      <c r="E9" s="12" t="s">
        <v>1805</v>
      </c>
    </row>
    <row r="10" customFormat="false" ht="15" hidden="false" customHeight="false" outlineLevel="0" collapsed="false">
      <c r="A10" s="12" t="s">
        <v>1806</v>
      </c>
      <c r="B10" s="12" t="s">
        <v>253</v>
      </c>
      <c r="C10" s="12" t="s">
        <v>1807</v>
      </c>
      <c r="D10" s="12" t="n">
        <v>11</v>
      </c>
      <c r="E10" s="12" t="s">
        <v>1808</v>
      </c>
    </row>
    <row r="12" customFormat="false" ht="48" hidden="false" customHeight="true" outlineLevel="0" collapsed="false">
      <c r="A12" s="3" t="s">
        <v>1809</v>
      </c>
      <c r="B12" s="19" t="s">
        <v>1810</v>
      </c>
      <c r="C12" s="19"/>
      <c r="D12" s="19"/>
      <c r="E12" s="19"/>
    </row>
  </sheetData>
  <mergeCells count="1">
    <mergeCell ref="B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26"/>
    <col collapsed="false" customWidth="true" hidden="false" outlineLevel="0" max="5" min="4" style="0" width="70"/>
  </cols>
  <sheetData>
    <row r="1" customFormat="false" ht="31.5" hidden="false" customHeight="true" outlineLevel="0" collapsed="false">
      <c r="A1" s="5" t="s">
        <v>1811</v>
      </c>
      <c r="B1" s="5" t="s">
        <v>1525</v>
      </c>
      <c r="C1" s="5" t="s">
        <v>1812</v>
      </c>
      <c r="D1" s="5" t="s">
        <v>1813</v>
      </c>
      <c r="E1" s="5" t="s">
        <v>1814</v>
      </c>
    </row>
    <row r="2" customFormat="false" ht="23.85" hidden="false" customHeight="false" outlineLevel="0" collapsed="false">
      <c r="A2" s="4" t="n">
        <v>1</v>
      </c>
      <c r="B2" s="4" t="s">
        <v>326</v>
      </c>
      <c r="C2" s="4" t="s">
        <v>1815</v>
      </c>
      <c r="D2" s="4" t="s">
        <v>1816</v>
      </c>
      <c r="E2" s="4" t="s">
        <v>1817</v>
      </c>
    </row>
    <row r="3" customFormat="false" ht="23.85" hidden="false" customHeight="false" outlineLevel="0" collapsed="false">
      <c r="A3" s="4" t="n">
        <v>2</v>
      </c>
      <c r="B3" s="4" t="s">
        <v>94</v>
      </c>
      <c r="C3" s="4" t="s">
        <v>1818</v>
      </c>
      <c r="D3" s="4" t="s">
        <v>1819</v>
      </c>
      <c r="E3" s="4" t="s">
        <v>1820</v>
      </c>
    </row>
    <row r="4" customFormat="false" ht="23.85" hidden="false" customHeight="false" outlineLevel="0" collapsed="false">
      <c r="A4" s="4" t="n">
        <v>3</v>
      </c>
      <c r="B4" s="4" t="s">
        <v>177</v>
      </c>
      <c r="C4" s="4" t="s">
        <v>1821</v>
      </c>
      <c r="D4" s="4" t="s">
        <v>1822</v>
      </c>
      <c r="E4" s="4" t="s">
        <v>1823</v>
      </c>
    </row>
    <row r="5" customFormat="false" ht="15" hidden="false" customHeight="false" outlineLevel="0" collapsed="false">
      <c r="A5" s="4" t="n">
        <v>4</v>
      </c>
      <c r="B5" s="4" t="s">
        <v>67</v>
      </c>
      <c r="C5" s="4" t="s">
        <v>1824</v>
      </c>
      <c r="D5" s="4" t="s">
        <v>1825</v>
      </c>
      <c r="E5" s="4" t="s">
        <v>1826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70"/>
    <col collapsed="false" customWidth="true" hidden="false" outlineLevel="0" max="4" min="4" style="0" width="60"/>
    <col collapsed="false" customWidth="true" hidden="false" outlineLevel="0" max="5" min="5" style="0" width="22"/>
  </cols>
  <sheetData>
    <row r="1" customFormat="false" ht="31.5" hidden="false" customHeight="true" outlineLevel="0" collapsed="false">
      <c r="A1" s="5" t="s">
        <v>1827</v>
      </c>
      <c r="B1" s="5" t="s">
        <v>1828</v>
      </c>
      <c r="C1" s="5" t="s">
        <v>1829</v>
      </c>
      <c r="D1" s="5" t="s">
        <v>1830</v>
      </c>
      <c r="E1" s="5" t="s">
        <v>56</v>
      </c>
    </row>
    <row r="2" customFormat="false" ht="23.85" hidden="false" customHeight="false" outlineLevel="0" collapsed="false">
      <c r="A2" s="4" t="s">
        <v>1831</v>
      </c>
      <c r="B2" s="4" t="s">
        <v>612</v>
      </c>
      <c r="C2" s="4" t="s">
        <v>1832</v>
      </c>
      <c r="D2" s="4" t="s">
        <v>1833</v>
      </c>
      <c r="E2" s="4" t="s">
        <v>74</v>
      </c>
    </row>
    <row r="3" customFormat="false" ht="23.85" hidden="false" customHeight="false" outlineLevel="0" collapsed="false">
      <c r="A3" s="4" t="s">
        <v>1834</v>
      </c>
      <c r="B3" s="4" t="s">
        <v>1835</v>
      </c>
      <c r="C3" s="4" t="s">
        <v>1836</v>
      </c>
      <c r="D3" s="4" t="s">
        <v>1837</v>
      </c>
      <c r="E3" s="4" t="s">
        <v>74</v>
      </c>
    </row>
    <row r="4" customFormat="false" ht="35.05" hidden="false" customHeight="false" outlineLevel="0" collapsed="false">
      <c r="A4" s="4" t="s">
        <v>1838</v>
      </c>
      <c r="B4" s="4" t="s">
        <v>1839</v>
      </c>
      <c r="C4" s="4" t="s">
        <v>1840</v>
      </c>
      <c r="D4" s="4" t="s">
        <v>1841</v>
      </c>
      <c r="E4" s="4" t="s">
        <v>74</v>
      </c>
    </row>
    <row r="5" customFormat="false" ht="15" hidden="false" customHeight="false" outlineLevel="0" collapsed="false">
      <c r="A5" s="4" t="s">
        <v>1842</v>
      </c>
      <c r="B5" s="4" t="s">
        <v>822</v>
      </c>
      <c r="C5" s="4" t="s">
        <v>1843</v>
      </c>
      <c r="D5" s="4" t="s">
        <v>1844</v>
      </c>
      <c r="E5" s="4" t="s">
        <v>74</v>
      </c>
    </row>
    <row r="6" customFormat="false" ht="23.85" hidden="false" customHeight="false" outlineLevel="0" collapsed="false">
      <c r="A6" s="4" t="s">
        <v>1845</v>
      </c>
      <c r="B6" s="4" t="s">
        <v>1846</v>
      </c>
      <c r="C6" s="4" t="s">
        <v>1847</v>
      </c>
      <c r="D6" s="4" t="s">
        <v>1848</v>
      </c>
      <c r="E6" s="4" t="s">
        <v>74</v>
      </c>
    </row>
    <row r="7" customFormat="false" ht="23.85" hidden="false" customHeight="false" outlineLevel="0" collapsed="false">
      <c r="A7" s="4" t="s">
        <v>1849</v>
      </c>
      <c r="B7" s="4" t="s">
        <v>1083</v>
      </c>
      <c r="C7" s="4" t="s">
        <v>1850</v>
      </c>
      <c r="D7" s="4" t="s">
        <v>1851</v>
      </c>
      <c r="E7" s="4" t="s">
        <v>1290</v>
      </c>
    </row>
    <row r="8" customFormat="false" ht="15" hidden="false" customHeight="false" outlineLevel="0" collapsed="false">
      <c r="A8" s="4" t="s">
        <v>1852</v>
      </c>
      <c r="B8" s="4" t="s">
        <v>1853</v>
      </c>
      <c r="C8" s="4" t="s">
        <v>1854</v>
      </c>
      <c r="D8" s="4"/>
      <c r="E8" s="4" t="s">
        <v>1290</v>
      </c>
    </row>
    <row r="9" customFormat="false" ht="23.85" hidden="false" customHeight="false" outlineLevel="0" collapsed="false">
      <c r="A9" s="4" t="s">
        <v>1855</v>
      </c>
      <c r="B9" s="4" t="s">
        <v>1005</v>
      </c>
      <c r="C9" s="4" t="s">
        <v>1856</v>
      </c>
      <c r="D9" s="4" t="s">
        <v>1857</v>
      </c>
      <c r="E9" s="4" t="s">
        <v>1290</v>
      </c>
    </row>
    <row r="10" customFormat="false" ht="23.85" hidden="false" customHeight="false" outlineLevel="0" collapsed="false">
      <c r="A10" s="4" t="s">
        <v>1858</v>
      </c>
      <c r="B10" s="4" t="s">
        <v>1859</v>
      </c>
      <c r="C10" s="4" t="s">
        <v>1860</v>
      </c>
      <c r="D10" s="4"/>
      <c r="E10" s="4" t="s">
        <v>1290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0"/>
  </cols>
  <sheetData>
    <row r="1" customFormat="false" ht="19.7" hidden="false" customHeight="false" outlineLevel="0" collapsed="false">
      <c r="A1" s="1" t="s">
        <v>22</v>
      </c>
    </row>
    <row r="2" customFormat="false" ht="15" hidden="false" customHeight="false" outlineLevel="0" collapsed="false">
      <c r="A2" s="2" t="s">
        <v>1861</v>
      </c>
    </row>
    <row r="4" customFormat="false" ht="15" hidden="false" customHeight="false" outlineLevel="0" collapsed="false">
      <c r="A4" s="14" t="s">
        <v>1862</v>
      </c>
    </row>
    <row r="5" customFormat="false" ht="23.85" hidden="false" customHeight="false" outlineLevel="0" collapsed="false">
      <c r="A5" s="3" t="s">
        <v>1863</v>
      </c>
      <c r="B5" s="4" t="s">
        <v>1864</v>
      </c>
    </row>
    <row r="6" customFormat="false" ht="23.85" hidden="false" customHeight="false" outlineLevel="0" collapsed="false">
      <c r="A6" s="3" t="s">
        <v>1865</v>
      </c>
      <c r="B6" s="4" t="s">
        <v>1866</v>
      </c>
    </row>
    <row r="7" customFormat="false" ht="23.85" hidden="false" customHeight="false" outlineLevel="0" collapsed="false">
      <c r="A7" s="3" t="s">
        <v>1867</v>
      </c>
      <c r="B7" s="4" t="s">
        <v>1868</v>
      </c>
    </row>
    <row r="8" customFormat="false" ht="23.85" hidden="false" customHeight="false" outlineLevel="0" collapsed="false">
      <c r="A8" s="3" t="s">
        <v>1869</v>
      </c>
      <c r="B8" s="4" t="s">
        <v>1870</v>
      </c>
    </row>
    <row r="9" customFormat="false" ht="23.85" hidden="false" customHeight="false" outlineLevel="0" collapsed="false">
      <c r="A9" s="3" t="s">
        <v>1871</v>
      </c>
      <c r="B9" s="4" t="s">
        <v>1872</v>
      </c>
    </row>
    <row r="10" customFormat="false" ht="23.85" hidden="false" customHeight="false" outlineLevel="0" collapsed="false">
      <c r="A10" s="3" t="s">
        <v>1873</v>
      </c>
      <c r="B10" s="4" t="s">
        <v>1874</v>
      </c>
    </row>
    <row r="11" customFormat="false" ht="23.85" hidden="false" customHeight="false" outlineLevel="0" collapsed="false">
      <c r="A11" s="3" t="s">
        <v>1875</v>
      </c>
      <c r="B11" s="4" t="s">
        <v>1876</v>
      </c>
    </row>
    <row r="12" customFormat="false" ht="23.85" hidden="false" customHeight="false" outlineLevel="0" collapsed="false">
      <c r="A12" s="3" t="s">
        <v>1877</v>
      </c>
      <c r="B12" s="4" t="s">
        <v>1878</v>
      </c>
    </row>
    <row r="13" customFormat="false" ht="23.85" hidden="false" customHeight="false" outlineLevel="0" collapsed="false">
      <c r="A13" s="3" t="s">
        <v>1879</v>
      </c>
      <c r="B13" s="4" t="s">
        <v>1880</v>
      </c>
    </row>
    <row r="14" customFormat="false" ht="23.85" hidden="false" customHeight="false" outlineLevel="0" collapsed="false">
      <c r="A14" s="3" t="s">
        <v>1881</v>
      </c>
      <c r="B14" s="4" t="s">
        <v>1882</v>
      </c>
    </row>
    <row r="15" customFormat="false" ht="23.85" hidden="false" customHeight="false" outlineLevel="0" collapsed="false">
      <c r="A15" s="3" t="s">
        <v>1883</v>
      </c>
      <c r="B15" s="4" t="s">
        <v>1884</v>
      </c>
    </row>
    <row r="16" customFormat="false" ht="23.85" hidden="false" customHeight="false" outlineLevel="0" collapsed="false">
      <c r="A16" s="3" t="s">
        <v>30</v>
      </c>
      <c r="B16" s="4" t="s">
        <v>1885</v>
      </c>
    </row>
    <row r="17" customFormat="false" ht="23.85" hidden="false" customHeight="false" outlineLevel="0" collapsed="false">
      <c r="A17" s="3" t="s">
        <v>1886</v>
      </c>
      <c r="B17" s="4" t="s">
        <v>1887</v>
      </c>
    </row>
    <row r="18" customFormat="false" ht="23.85" hidden="false" customHeight="false" outlineLevel="0" collapsed="false">
      <c r="A18" s="3" t="s">
        <v>1888</v>
      </c>
      <c r="B18" s="4" t="s">
        <v>1889</v>
      </c>
    </row>
    <row r="19" customFormat="false" ht="23.85" hidden="false" customHeight="false" outlineLevel="0" collapsed="false">
      <c r="A19" s="3" t="s">
        <v>1890</v>
      </c>
      <c r="B19" s="4" t="s">
        <v>1891</v>
      </c>
    </row>
    <row r="21" customFormat="false" ht="15" hidden="false" customHeight="false" outlineLevel="0" collapsed="false">
      <c r="A21" s="14" t="s">
        <v>1892</v>
      </c>
    </row>
    <row r="22" customFormat="false" ht="43.5" hidden="false" customHeight="true" outlineLevel="0" collapsed="false">
      <c r="A22" s="3" t="s">
        <v>1893</v>
      </c>
      <c r="B22" s="4" t="s">
        <v>1894</v>
      </c>
    </row>
    <row r="23" customFormat="false" ht="43.5" hidden="false" customHeight="true" outlineLevel="0" collapsed="false">
      <c r="A23" s="3" t="s">
        <v>35</v>
      </c>
      <c r="B23" s="4" t="s">
        <v>1895</v>
      </c>
    </row>
    <row r="24" customFormat="false" ht="43.5" hidden="false" customHeight="true" outlineLevel="0" collapsed="false">
      <c r="A24" s="3" t="s">
        <v>1896</v>
      </c>
      <c r="B24" s="4" t="s">
        <v>1897</v>
      </c>
    </row>
    <row r="25" customFormat="false" ht="43.5" hidden="false" customHeight="true" outlineLevel="0" collapsed="false">
      <c r="A25" s="3" t="s">
        <v>1898</v>
      </c>
      <c r="B25" s="4" t="s">
        <v>1810</v>
      </c>
    </row>
    <row r="26" customFormat="false" ht="43.5" hidden="false" customHeight="true" outlineLevel="0" collapsed="false">
      <c r="A26" s="3" t="s">
        <v>1899</v>
      </c>
      <c r="B26" s="4" t="s">
        <v>1900</v>
      </c>
    </row>
    <row r="27" customFormat="false" ht="43.5" hidden="false" customHeight="true" outlineLevel="0" collapsed="false">
      <c r="A27" s="3" t="s">
        <v>1901</v>
      </c>
      <c r="B27" s="4" t="s">
        <v>1902</v>
      </c>
    </row>
    <row r="28" customFormat="false" ht="43.5" hidden="false" customHeight="true" outlineLevel="0" collapsed="false">
      <c r="A28" s="3" t="s">
        <v>42</v>
      </c>
      <c r="B28" s="4" t="s">
        <v>1903</v>
      </c>
    </row>
    <row r="29" customFormat="false" ht="43.5" hidden="false" customHeight="true" outlineLevel="0" collapsed="false">
      <c r="A29" s="3" t="s">
        <v>1904</v>
      </c>
      <c r="B29" s="4" t="s">
        <v>1905</v>
      </c>
    </row>
    <row r="30" customFormat="false" ht="43.5" hidden="false" customHeight="true" outlineLevel="0" collapsed="false">
      <c r="A30" s="3" t="s">
        <v>1906</v>
      </c>
      <c r="B30" s="4" t="s">
        <v>1907</v>
      </c>
    </row>
    <row r="31" customFormat="false" ht="43.5" hidden="false" customHeight="true" outlineLevel="0" collapsed="false">
      <c r="A31" s="3" t="s">
        <v>1465</v>
      </c>
      <c r="B31" s="4" t="s">
        <v>1908</v>
      </c>
    </row>
    <row r="32" customFormat="false" ht="43.5" hidden="false" customHeight="true" outlineLevel="0" collapsed="false">
      <c r="A32" s="3" t="s">
        <v>1909</v>
      </c>
      <c r="B32" s="4" t="s">
        <v>1910</v>
      </c>
    </row>
    <row r="33" customFormat="false" ht="43.5" hidden="false" customHeight="true" outlineLevel="0" collapsed="false">
      <c r="A33" s="3" t="s">
        <v>1911</v>
      </c>
      <c r="B33" s="4" t="s">
        <v>1912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 t="s">
        <v>29</v>
      </c>
      <c r="B1" s="3" t="s">
        <v>1913</v>
      </c>
    </row>
    <row r="2" customFormat="false" ht="15" hidden="false" customHeight="false" outlineLevel="0" collapsed="false">
      <c r="A2" s="12" t="s">
        <v>60</v>
      </c>
      <c r="B2" s="12" t="s">
        <v>224</v>
      </c>
    </row>
    <row r="3" customFormat="false" ht="15" hidden="false" customHeight="false" outlineLevel="0" collapsed="false">
      <c r="A3" s="12" t="s">
        <v>286</v>
      </c>
      <c r="B3" s="12" t="s">
        <v>1914</v>
      </c>
    </row>
    <row r="4" customFormat="false" ht="15" hidden="false" customHeight="false" outlineLevel="0" collapsed="false">
      <c r="A4" s="12" t="s">
        <v>1279</v>
      </c>
      <c r="B4" s="12"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2026-10-08T13:30:45Z</dcterms:created>
  <dc:creator>openpyxl</dc:creator>
  <dc:description/>
  <dc:language>en-US</dc:language>
  <cp:lastModifiedBy/>
  <dcterms:modified xsi:type="dcterms:W3CDTF">2026-10-08T13:30:46Z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